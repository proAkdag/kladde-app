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Klassenliste" sheetId="2" state="visible" r:id="rId2"/>
    <sheet xmlns:r="http://schemas.openxmlformats.org/officeDocument/2006/relationships" name="Sitzplan" sheetId="3" state="visible" r:id="rId3"/>
    <sheet xmlns:r="http://schemas.openxmlformats.org/officeDocument/2006/relationships" name="Anw 1.HJ" sheetId="4" state="visible" r:id="rId4"/>
    <sheet xmlns:r="http://schemas.openxmlformats.org/officeDocument/2006/relationships" name="Mat 1.HJ" sheetId="5" state="visible" r:id="rId5"/>
    <sheet xmlns:r="http://schemas.openxmlformats.org/officeDocument/2006/relationships" name="Noten 1.HJ" sheetId="6" state="visible" r:id="rId6"/>
    <sheet xmlns:r="http://schemas.openxmlformats.org/officeDocument/2006/relationships" name="Anw 2.HJ" sheetId="7" state="visible" r:id="rId7"/>
    <sheet xmlns:r="http://schemas.openxmlformats.org/officeDocument/2006/relationships" name="Mat 2.HJ" sheetId="8" state="visible" r:id="rId8"/>
    <sheet xmlns:r="http://schemas.openxmlformats.org/officeDocument/2006/relationships" name="Noten 2.HJ" sheetId="9" state="visible" r:id="rId9"/>
    <sheet xmlns:r="http://schemas.openxmlformats.org/officeDocument/2006/relationships" name="Verspätung" sheetId="10" state="visible" r:id="rId10"/>
    <sheet xmlns:r="http://schemas.openxmlformats.org/officeDocument/2006/relationships" name="KA1" sheetId="11" state="visible" r:id="rId11"/>
    <sheet xmlns:r="http://schemas.openxmlformats.org/officeDocument/2006/relationships" name="KA2" sheetId="12" state="visible" r:id="rId12"/>
    <sheet xmlns:r="http://schemas.openxmlformats.org/officeDocument/2006/relationships" name="KA3" sheetId="13" state="visible" r:id="rId13"/>
    <sheet xmlns:r="http://schemas.openxmlformats.org/officeDocument/2006/relationships" name="KA4" sheetId="14" state="visible" r:id="rId14"/>
    <sheet xmlns:r="http://schemas.openxmlformats.org/officeDocument/2006/relationships" name="KA5" sheetId="15" state="visible" r:id="rId15"/>
    <sheet xmlns:r="http://schemas.openxmlformats.org/officeDocument/2006/relationships" name="KA6" sheetId="16" state="visible" r:id="rId16"/>
    <sheet xmlns:r="http://schemas.openxmlformats.org/officeDocument/2006/relationships" name="Notentabelle" sheetId="17" state="visible" r:id="rId17"/>
    <sheet xmlns:r="http://schemas.openxmlformats.org/officeDocument/2006/relationships" name="RB_Daten" sheetId="18" state="hidden" r:id="rId18"/>
    <sheet xmlns:r="http://schemas.openxmlformats.org/officeDocument/2006/relationships" name="Rückmeldebogen" sheetId="19" state="visible" r:id="rId19"/>
  </sheets>
  <definedNames>
    <definedName name="_xlnm.Print_Area" localSheetId="1">'Klassenliste'!$A$1:$L$40</definedName>
    <definedName name="_xlnm.Print_Area" localSheetId="2">'Sitzplan'!$A$1:$M$26</definedName>
    <definedName name="_xlnm.Print_Titles" localSheetId="3">'Anw 1.HJ'!$A:$C</definedName>
    <definedName name="_xlnm.Print_Area" localSheetId="3">'Anw 1.HJ'!$A$1:$AI$40</definedName>
    <definedName name="_xlnm.Print_Titles" localSheetId="4">'Mat 1.HJ'!$A:$C</definedName>
    <definedName name="_xlnm.Print_Area" localSheetId="4">'Mat 1.HJ'!$A$1:$AJ$40</definedName>
    <definedName name="_xlnm.Print_Titles" localSheetId="5">'Noten 1.HJ'!$A:$C</definedName>
    <definedName name="_xlnm.Print_Area" localSheetId="5">'Noten 1.HJ'!$A$1:$AB$41</definedName>
    <definedName name="_xlnm.Print_Titles" localSheetId="6">'Anw 2.HJ'!$A:$C</definedName>
    <definedName name="_xlnm.Print_Area" localSheetId="6">'Anw 2.HJ'!$A$1:$AI$40</definedName>
    <definedName name="_xlnm.Print_Titles" localSheetId="7">'Mat 2.HJ'!$A:$C</definedName>
    <definedName name="_xlnm.Print_Area" localSheetId="7">'Mat 2.HJ'!$A$1:$AJ$40</definedName>
    <definedName name="_xlnm.Print_Titles" localSheetId="8">'Noten 2.HJ'!$A:$C</definedName>
    <definedName name="_xlnm.Print_Area" localSheetId="8">'Noten 2.HJ'!$A$1:$AB$41</definedName>
    <definedName name="_xlnm.Print_Titles" localSheetId="9">'Verspätung'!$A:$C</definedName>
    <definedName name="_xlnm.Print_Area" localSheetId="9">'Verspätung'!$A$1:$AS$40</definedName>
    <definedName name="_xlnm.Print_Titles" localSheetId="10">'KA1'!$A:$C</definedName>
    <definedName name="_xlnm.Print_Area" localSheetId="10">'KA1'!$A$1:$S$50</definedName>
    <definedName name="_xlnm.Print_Titles" localSheetId="11">'KA2'!$A:$C</definedName>
    <definedName name="_xlnm.Print_Area" localSheetId="11">'KA2'!$A$1:$S$50</definedName>
    <definedName name="_xlnm.Print_Titles" localSheetId="12">'KA3'!$A:$C</definedName>
    <definedName name="_xlnm.Print_Area" localSheetId="12">'KA3'!$A$1:$S$50</definedName>
    <definedName name="_xlnm.Print_Titles" localSheetId="13">'KA4'!$A:$C</definedName>
    <definedName name="_xlnm.Print_Area" localSheetId="13">'KA4'!$A$1:$S$50</definedName>
    <definedName name="_xlnm.Print_Titles" localSheetId="14">'KA5'!$A:$C</definedName>
    <definedName name="_xlnm.Print_Area" localSheetId="14">'KA5'!$A$1:$S$50</definedName>
    <definedName name="_xlnm.Print_Titles" localSheetId="15">'KA6'!$A:$C</definedName>
    <definedName name="_xlnm.Print_Area" localSheetId="15">'KA6'!$A$1:$S$50</definedName>
    <definedName name="_xlnm.Print_Titles" localSheetId="16">'Notentabelle'!$A:$C</definedName>
    <definedName name="_xlnm.Print_Area" localSheetId="16">'Notentabelle'!$A$1:$N$22</definedName>
    <definedName name="_xlnm.Print_Area" localSheetId="18">'Rückmeldebogen'!$A$3:$O$599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DD.MM."/>
    <numFmt numFmtId="166" formatCode="0.0"/>
    <numFmt numFmtId="167" formatCode="0.0%"/>
  </numFmts>
  <fonts count="14">
    <font>
      <name val="Calibri"/>
      <family val="2"/>
      <color theme="1"/>
      <sz val="11"/>
      <scheme val="minor"/>
    </font>
    <font>
      <name val="Segoe UI Semibold"/>
      <color rgb="00232A30"/>
      <sz val="13"/>
    </font>
    <font>
      <name val="Segoe UI"/>
      <color rgb="0066717A"/>
      <sz val="10"/>
    </font>
    <font>
      <name val="Segoe UI Semibold"/>
      <color rgb="002C4B5E"/>
      <sz val="9"/>
    </font>
    <font>
      <name val="Segoe UI"/>
      <color rgb="00232A30"/>
      <sz val="10"/>
    </font>
    <font>
      <name val="Segoe UI"/>
      <color rgb="0066717A"/>
      <sz val="9"/>
    </font>
    <font>
      <name val="Segoe UI Semibold"/>
      <color rgb="004A7A5C"/>
      <sz val="9"/>
    </font>
    <font>
      <name val="Segoe UI Semibold"/>
      <color rgb="00232A30"/>
      <sz val="10"/>
    </font>
    <font>
      <name val="Segoe UI Semibold"/>
      <color rgb="0066717A"/>
      <sz val="9"/>
    </font>
    <font>
      <name val="Segoe UI Semibold"/>
      <color rgb="00232A30"/>
      <sz val="11"/>
    </font>
    <font>
      <name val="Segoe UI Semibold"/>
      <color rgb="00232A30"/>
      <sz val="14"/>
    </font>
    <font>
      <name val="Segoe UI Semibold"/>
      <color rgb="002C4B5E"/>
      <sz val="10"/>
    </font>
    <font>
      <name val="Segoe UI"/>
      <color rgb="00232A30"/>
      <sz val="9.5"/>
    </font>
    <font>
      <name val="Segoe UI Semibold"/>
      <color rgb="00232A30"/>
      <sz val="9.5"/>
    </font>
  </fonts>
  <fills count="6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3F5F6"/>
      </patternFill>
    </fill>
    <fill>
      <patternFill patternType="solid">
        <fgColor rgb="FFE9EFF2"/>
      </patternFill>
    </fill>
    <fill>
      <patternFill patternType="solid">
        <fgColor rgb="FFF7FAFB"/>
      </patternFill>
    </fill>
  </fills>
  <borders count="35">
    <border>
      <left/>
      <right/>
      <top/>
      <bottom/>
      <diagonal/>
    </border>
    <border>
      <bottom style="medium">
        <color rgb="0035596E"/>
      </bottom>
    </border>
    <border>
      <left style="thin">
        <color rgb="00D8DDE0"/>
      </left>
      <right style="thin">
        <color rgb="00D8DDE0"/>
      </right>
      <top style="thin">
        <color rgb="00D8DDE0"/>
      </top>
      <bottom style="thin">
        <color rgb="00D8DDE0"/>
      </bottom>
    </border>
    <border>
      <bottom style="thin">
        <color rgb="009FACB4"/>
      </bottom>
    </border>
    <border>
      <left style="thin">
        <color rgb="00D8DDE0"/>
      </left>
      <right style="thin">
        <color rgb="00D8DDE0"/>
      </right>
      <top style="thin">
        <color rgb="00D8DDE0"/>
      </top>
      <bottom style="thin">
        <color rgb="009FACB4"/>
      </bottom>
    </border>
    <border>
      <left style="dashed">
        <color rgb="00C9D0D4"/>
      </left>
      <right style="dashed">
        <color rgb="00C9D0D4"/>
      </right>
      <top style="dashed">
        <color rgb="00C9D0D4"/>
      </top>
      <bottom style="dashed">
        <color rgb="00C9D0D4"/>
      </bottom>
    </border>
    <border>
      <left style="medium">
        <color rgb="009FACB4"/>
      </left>
      <right style="medium">
        <color rgb="009FACB4"/>
      </right>
      <top style="medium">
        <color rgb="009FACB4"/>
      </top>
      <bottom style="medium">
        <color rgb="009FACB4"/>
      </bottom>
    </border>
    <border>
      <left style="medium">
        <color rgb="00232A30"/>
      </left>
      <right style="medium">
        <color rgb="00232A30"/>
      </right>
      <top style="medium">
        <color rgb="00232A30"/>
      </top>
      <bottom style="medium">
        <color rgb="00232A30"/>
      </bottom>
    </border>
    <border>
      <left/>
      <right style="medium">
        <color rgb="009FACB4"/>
      </right>
      <top/>
      <bottom/>
    </border>
    <border>
      <left style="thin">
        <color rgb="00D8DDE0"/>
      </left>
      <right style="medium">
        <color rgb="009FACB4"/>
      </right>
      <top style="thin">
        <color rgb="00D8DDE0"/>
      </top>
      <bottom style="thin">
        <color rgb="009FACB4"/>
      </bottom>
    </border>
    <border>
      <left style="thin">
        <color rgb="00D8DDE0"/>
      </left>
      <right style="medium">
        <color rgb="009FACB4"/>
      </right>
      <top style="thin">
        <color rgb="00D8DDE0"/>
      </top>
      <bottom style="thin">
        <color rgb="00D8DDE0"/>
      </bottom>
    </border>
    <border>
      <left style="thin">
        <color rgb="009FACB4"/>
      </left>
      <right style="thin">
        <color rgb="009FACB4"/>
      </right>
      <top style="thin">
        <color rgb="009FACB4"/>
      </top>
      <bottom style="thin">
        <color rgb="009FACB4"/>
      </bottom>
    </border>
    <border>
      <left style="medium">
        <color rgb="009FACB4"/>
      </left>
      <right style="thin">
        <color rgb="00D8DDE0"/>
      </right>
      <top style="thin">
        <color rgb="00D8DDE0"/>
      </top>
      <bottom style="thin">
        <color rgb="009FACB4"/>
      </bottom>
    </border>
    <border>
      <left style="medium">
        <color rgb="009FACB4"/>
      </left>
      <right style="thin">
        <color rgb="00D8DDE0"/>
      </right>
      <top style="thin">
        <color rgb="00D8DDE0"/>
      </top>
      <bottom style="thin">
        <color rgb="00D8DDE0"/>
      </bottom>
    </border>
    <border>
      <left/>
      <right/>
      <top style="thin">
        <color rgb="00D8DDE0"/>
      </top>
      <bottom/>
      <diagonal/>
    </border>
    <border>
      <left/>
      <right style="thin">
        <color rgb="00D8DDE0"/>
      </right>
      <top style="thin">
        <color rgb="00D8DDE0"/>
      </top>
      <bottom/>
      <diagonal/>
    </border>
    <border>
      <left/>
      <right style="thin">
        <color rgb="00D8DDE0"/>
      </right>
      <top style="thin">
        <color rgb="00D8DDE0"/>
      </top>
      <bottom style="thin">
        <color rgb="00D8DDE0"/>
      </bottom>
      <diagonal/>
    </border>
    <border>
      <left/>
      <right/>
      <top/>
      <bottom style="medium">
        <color rgb="009FACB4"/>
      </bottom>
    </border>
    <border>
      <left style="thin">
        <color rgb="00D8DDE0"/>
      </left>
      <right style="thin">
        <color rgb="00D8DDE0"/>
      </right>
      <top style="thin">
        <color rgb="00D8DDE0"/>
      </top>
      <bottom style="medium">
        <color rgb="009FACB4"/>
      </bottom>
    </border>
    <border>
      <left style="medium">
        <color rgb="009FACB4"/>
      </left>
      <right style="thin">
        <color rgb="00D8DDE0"/>
      </right>
      <top style="thin">
        <color rgb="00D8DDE0"/>
      </top>
      <bottom style="medium">
        <color rgb="009FACB4"/>
      </bottom>
    </border>
    <border>
      <bottom style="thin">
        <color rgb="00D8DDE0"/>
      </bottom>
    </border>
    <border>
      <left style="medium">
        <color rgb="009FACB4"/>
      </left>
      <right style="thin">
        <color rgb="009FACB4"/>
      </right>
      <top style="thin">
        <color rgb="009FACB4"/>
      </top>
      <bottom style="thin">
        <color rgb="009FACB4"/>
      </bottom>
    </border>
    <border>
      <bottom style="thin">
        <color rgb="00232A30"/>
      </bottom>
    </border>
    <border>
      <left/>
      <right/>
      <top style="medium">
        <color rgb="00232A30"/>
      </top>
      <bottom/>
    </border>
    <border>
      <left/>
      <right/>
      <top/>
      <bottom style="medium">
        <color rgb="00232A30"/>
      </bottom>
    </border>
    <border>
      <left style="medium">
        <color rgb="00232A30"/>
      </left>
      <right/>
      <top style="medium">
        <color rgb="00232A30"/>
      </top>
      <bottom/>
    </border>
    <border>
      <left/>
      <right style="medium">
        <color rgb="00232A30"/>
      </right>
      <top style="medium">
        <color rgb="00232A30"/>
      </top>
      <bottom/>
    </border>
    <border>
      <left style="medium">
        <color rgb="00232A30"/>
      </left>
      <right/>
      <top/>
      <bottom/>
    </border>
    <border>
      <left/>
      <right style="medium">
        <color rgb="00232A30"/>
      </right>
      <top/>
      <bottom/>
    </border>
    <border>
      <left style="medium">
        <color rgb="00232A30"/>
      </left>
      <bottom style="thin">
        <color rgb="00D8DDE0"/>
      </bottom>
    </border>
    <border>
      <left style="medium">
        <color rgb="00232A30"/>
      </left>
      <right style="thin">
        <color rgb="009FACB4"/>
      </right>
      <top style="thin">
        <color rgb="009FACB4"/>
      </top>
      <bottom style="thin">
        <color rgb="009FACB4"/>
      </bottom>
    </border>
    <border>
      <left style="medium">
        <color rgb="009FACB4"/>
      </left>
      <right style="medium">
        <color rgb="00232A30"/>
      </right>
      <top style="thin">
        <color rgb="009FACB4"/>
      </top>
      <bottom style="thin">
        <color rgb="009FACB4"/>
      </bottom>
    </border>
    <border>
      <left style="medium">
        <color rgb="00232A30"/>
      </left>
      <right/>
      <top/>
      <bottom style="medium">
        <color rgb="00232A30"/>
      </bottom>
    </border>
    <border>
      <left/>
      <right style="medium">
        <color rgb="00232A30"/>
      </right>
      <top/>
      <bottom style="medium">
        <color rgb="00232A30"/>
      </bottom>
    </border>
    <border>
      <left style="thin">
        <color rgb="00B9C6CD"/>
      </left>
      <right style="thin">
        <color rgb="00B9C6CD"/>
      </right>
      <top style="thin">
        <color rgb="00B9C6CD"/>
      </top>
      <bottom style="thin">
        <color rgb="00B9C6CD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20" pivotButton="0" quotePrefix="0" xfId="0"/>
    <xf numFmtId="0" fontId="0" fillId="0" borderId="20" pivotButton="0" quotePrefix="0" xfId="0"/>
    <xf numFmtId="0" fontId="11" fillId="5" borderId="34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49" fontId="4" fillId="2" borderId="3" applyAlignment="1" applyProtection="1" pivotButton="0" quotePrefix="0" xfId="0">
      <alignment vertical="center"/>
      <protection locked="0" hidden="0"/>
    </xf>
    <xf numFmtId="0" fontId="4" fillId="2" borderId="3" applyAlignment="1" applyProtection="1" pivotButton="0" quotePrefix="0" xfId="0">
      <alignment vertical="center"/>
      <protection locked="0" hidden="0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0" fontId="0" fillId="4" borderId="3" pivotButton="0" quotePrefix="0" xfId="0"/>
    <xf numFmtId="1" fontId="4" fillId="3" borderId="0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3" fillId="4" borderId="4" applyAlignment="1" pivotButton="0" quotePrefix="0" xfId="0">
      <alignment horizontal="left" vertical="center"/>
    </xf>
    <xf numFmtId="1" fontId="4" fillId="3" borderId="2" applyAlignment="1" pivotButton="0" quotePrefix="0" xfId="0">
      <alignment vertical="center"/>
    </xf>
    <xf numFmtId="0" fontId="4" fillId="2" borderId="2" applyAlignment="1" applyProtection="1" pivotButton="0" quotePrefix="0" xfId="0">
      <alignment vertical="center" shrinkToFit="1"/>
      <protection locked="0" hidden="0"/>
    </xf>
    <xf numFmtId="0" fontId="4" fillId="2" borderId="2" applyAlignment="1" applyProtection="1" pivotButton="0" quotePrefix="0" xfId="0">
      <alignment vertical="center"/>
      <protection locked="0" hidden="0"/>
    </xf>
    <xf numFmtId="0" fontId="7" fillId="3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164" fontId="4" fillId="2" borderId="3" applyAlignment="1" applyProtection="1" pivotButton="0" quotePrefix="0" xfId="0">
      <alignment vertical="center"/>
      <protection locked="0" hidden="0"/>
    </xf>
    <xf numFmtId="0" fontId="4" fillId="2" borderId="5" applyAlignment="1" applyProtection="1" pivotButton="0" quotePrefix="0" xfId="0">
      <alignment horizontal="center" vertical="center" wrapText="1"/>
      <protection locked="0" hidden="0"/>
    </xf>
    <xf numFmtId="0" fontId="4" fillId="3" borderId="2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7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4" fillId="3" borderId="2" applyAlignment="1" pivotButton="0" quotePrefix="0" xfId="0">
      <alignment vertical="center" shrinkToFit="1"/>
    </xf>
    <xf numFmtId="0" fontId="5" fillId="0" borderId="8" pivotButton="0" quotePrefix="0" xfId="0"/>
    <xf numFmtId="165" fontId="5" fillId="4" borderId="2" applyAlignment="1" applyProtection="1" pivotButton="0" quotePrefix="0" xfId="0">
      <alignment horizontal="center" vertical="center"/>
      <protection locked="0" hidden="0"/>
    </xf>
    <xf numFmtId="165" fontId="5" fillId="4" borderId="10" applyAlignment="1" applyProtection="1" pivotButton="0" quotePrefix="0" xfId="0">
      <alignment horizontal="center" vertical="center"/>
      <protection locked="0" hidden="0"/>
    </xf>
    <xf numFmtId="0" fontId="3" fillId="4" borderId="9" applyAlignment="1" pivotButton="0" quotePrefix="0" xfId="0">
      <alignment horizontal="center" vertical="center"/>
    </xf>
    <xf numFmtId="0" fontId="0" fillId="0" borderId="8" pivotButton="0" quotePrefix="0" xfId="0"/>
    <xf numFmtId="0" fontId="2" fillId="3" borderId="2" applyAlignment="1" pivotButton="0" quotePrefix="0" xfId="0">
      <alignment vertical="center"/>
    </xf>
    <xf numFmtId="1" fontId="4" fillId="3" borderId="10" applyAlignment="1" pivotButton="0" quotePrefix="0" xfId="0">
      <alignment vertical="center"/>
    </xf>
    <xf numFmtId="0" fontId="4" fillId="2" borderId="2" applyAlignment="1" applyProtection="1" pivotButton="0" quotePrefix="0" xfId="0">
      <alignment horizontal="center" vertical="center"/>
      <protection locked="0" hidden="0"/>
    </xf>
    <xf numFmtId="0" fontId="4" fillId="2" borderId="10" applyAlignment="1" applyProtection="1" pivotButton="0" quotePrefix="0" xfId="0">
      <alignment horizontal="center" vertical="center"/>
      <protection locked="0" hidden="0"/>
    </xf>
    <xf numFmtId="0" fontId="3" fillId="4" borderId="3" applyAlignment="1" pivotButton="0" quotePrefix="0" xfId="0">
      <alignment horizontal="center"/>
    </xf>
    <xf numFmtId="1" fontId="5" fillId="2" borderId="2" applyAlignment="1" applyProtection="1" pivotButton="0" quotePrefix="0" xfId="0">
      <alignment vertical="center"/>
      <protection locked="0" hidden="0"/>
    </xf>
    <xf numFmtId="1" fontId="3" fillId="2" borderId="11" applyAlignment="1" applyProtection="1" pivotButton="0" quotePrefix="0" xfId="0">
      <alignment horizontal="center" vertical="center"/>
      <protection locked="0" hidden="0"/>
    </xf>
    <xf numFmtId="0" fontId="5" fillId="2" borderId="2" applyAlignment="1" applyProtection="1" pivotButton="0" quotePrefix="0" xfId="0">
      <alignment vertical="center" wrapText="1"/>
      <protection locked="0" hidden="0"/>
    </xf>
    <xf numFmtId="0" fontId="3" fillId="4" borderId="12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166" fontId="4" fillId="3" borderId="13" applyAlignment="1" pivotButton="0" quotePrefix="0" xfId="0">
      <alignment vertical="center"/>
    </xf>
    <xf numFmtId="166" fontId="4" fillId="3" borderId="2" applyAlignment="1" pivotButton="0" quotePrefix="0" xfId="0">
      <alignment vertical="center"/>
    </xf>
    <xf numFmtId="166" fontId="4" fillId="2" borderId="2" applyAlignment="1" applyProtection="1" pivotButton="0" quotePrefix="0" xfId="0">
      <alignment vertical="center"/>
      <protection locked="0" hidden="0"/>
    </xf>
    <xf numFmtId="1" fontId="7" fillId="3" borderId="2" applyAlignment="1" pivotButton="0" quotePrefix="0" xfId="0">
      <alignment vertical="center"/>
    </xf>
    <xf numFmtId="1" fontId="4" fillId="2" borderId="2" applyAlignment="1" applyProtection="1" pivotButton="0" quotePrefix="0" xfId="0">
      <alignment vertical="center"/>
      <protection locked="0" hidden="0"/>
    </xf>
    <xf numFmtId="1" fontId="4" fillId="2" borderId="10" applyAlignment="1" applyProtection="1" pivotButton="0" quotePrefix="0" xfId="0">
      <alignment vertical="center"/>
      <protection locked="0" hidden="0"/>
    </xf>
    <xf numFmtId="0" fontId="3" fillId="0" borderId="0" pivotButton="0" quotePrefix="0" xfId="0"/>
    <xf numFmtId="0" fontId="0" fillId="0" borderId="3" pivotButton="0" quotePrefix="0" xfId="0"/>
    <xf numFmtId="0" fontId="0" fillId="0" borderId="3" applyProtection="1" pivotButton="0" quotePrefix="0" xfId="0">
      <protection locked="0" hidden="0"/>
    </xf>
    <xf numFmtId="0" fontId="3" fillId="4" borderId="2" applyAlignment="1" applyProtection="1" pivotButton="0" quotePrefix="0" xfId="0">
      <alignment horizontal="center" vertical="center"/>
      <protection locked="0" hidden="0"/>
    </xf>
    <xf numFmtId="166" fontId="7" fillId="2" borderId="2" applyAlignment="1" applyProtection="1" pivotButton="0" quotePrefix="0" xfId="0">
      <alignment vertical="center"/>
      <protection locked="0" hidden="0"/>
    </xf>
    <xf numFmtId="166" fontId="7" fillId="3" borderId="13" applyAlignment="1" pivotButton="0" quotePrefix="0" xfId="0">
      <alignment vertical="center"/>
    </xf>
    <xf numFmtId="2" fontId="5" fillId="3" borderId="2" applyAlignment="1" pivotButton="0" quotePrefix="0" xfId="0">
      <alignment vertical="center"/>
    </xf>
    <xf numFmtId="2" fontId="5" fillId="3" borderId="13" applyAlignment="1" pivotButton="0" quotePrefix="0" xfId="0">
      <alignment vertical="center"/>
    </xf>
    <xf numFmtId="0" fontId="0" fillId="0" borderId="17" pivotButton="0" quotePrefix="0" xfId="0"/>
    <xf numFmtId="0" fontId="3" fillId="4" borderId="18" applyAlignment="1" pivotButton="0" quotePrefix="0" xfId="0">
      <alignment horizontal="left" vertical="center"/>
    </xf>
    <xf numFmtId="9" fontId="5" fillId="3" borderId="18" applyAlignment="1" pivotButton="0" quotePrefix="0" xfId="0">
      <alignment vertical="center"/>
    </xf>
    <xf numFmtId="9" fontId="5" fillId="3" borderId="19" applyAlignment="1" pivotButton="0" quotePrefix="0" xfId="0">
      <alignment vertical="center"/>
    </xf>
    <xf numFmtId="167" fontId="4" fillId="3" borderId="2" applyAlignment="1" pivotButton="0" quotePrefix="0" xfId="0">
      <alignment vertical="center"/>
    </xf>
    <xf numFmtId="0" fontId="4" fillId="2" borderId="2" applyAlignment="1" applyProtection="1" pivotButton="0" quotePrefix="0" xfId="0">
      <alignment horizontal="left" vertical="center"/>
      <protection locked="0" hidden="0"/>
    </xf>
    <xf numFmtId="166" fontId="7" fillId="3" borderId="2" applyAlignment="1" pivotButton="0" quotePrefix="0" xfId="0">
      <alignment vertical="center"/>
    </xf>
    <xf numFmtId="1" fontId="4" fillId="2" borderId="3" applyAlignment="1" applyProtection="1" pivotButton="0" quotePrefix="0" xfId="0">
      <alignment vertical="center"/>
      <protection locked="0" hidden="0"/>
    </xf>
    <xf numFmtId="9" fontId="4" fillId="2" borderId="2" applyAlignment="1" applyProtection="1" pivotButton="0" quotePrefix="0" xfId="0">
      <alignment vertical="center"/>
      <protection locked="0" hidden="0"/>
    </xf>
    <xf numFmtId="0" fontId="0" fillId="0" borderId="25" pivotButton="0" quotePrefix="0" xfId="0"/>
    <xf numFmtId="0" fontId="0" fillId="0" borderId="23" pivotButton="0" quotePrefix="0" xfId="0"/>
    <xf numFmtId="0" fontId="0" fillId="0" borderId="26" pivotButton="0" quotePrefix="0" xfId="0"/>
    <xf numFmtId="0" fontId="9" fillId="0" borderId="27" pivotButton="0" quotePrefix="0" xfId="0"/>
    <xf numFmtId="0" fontId="0" fillId="0" borderId="28" pivotButton="0" quotePrefix="0" xfId="0"/>
    <xf numFmtId="0" fontId="9" fillId="0" borderId="29" pivotButton="0" quotePrefix="0" xfId="0"/>
    <xf numFmtId="0" fontId="0" fillId="0" borderId="27" pivotButton="0" quotePrefix="0" xfId="0"/>
    <xf numFmtId="0" fontId="3" fillId="4" borderId="30" applyAlignment="1" pivotButton="0" quotePrefix="0" xfId="0">
      <alignment horizontal="left" vertical="center"/>
    </xf>
    <xf numFmtId="0" fontId="3" fillId="4" borderId="11" applyAlignment="1" pivotButton="0" quotePrefix="0" xfId="0">
      <alignment vertical="center"/>
    </xf>
    <xf numFmtId="0" fontId="3" fillId="4" borderId="31" applyAlignment="1" pivotButton="0" quotePrefix="0" xfId="0">
      <alignment horizontal="center" vertical="center"/>
    </xf>
    <xf numFmtId="0" fontId="5" fillId="4" borderId="30" applyAlignment="1" pivotButton="0" quotePrefix="0" xfId="0">
      <alignment horizontal="left" vertical="center"/>
    </xf>
    <xf numFmtId="166" fontId="5" fillId="3" borderId="11" applyAlignment="1" pivotButton="0" quotePrefix="0" xfId="0">
      <alignment vertical="center"/>
    </xf>
    <xf numFmtId="166" fontId="5" fillId="3" borderId="31" applyAlignment="1" pivotButton="0" quotePrefix="0" xfId="0">
      <alignment vertical="center"/>
    </xf>
    <xf numFmtId="0" fontId="7" fillId="4" borderId="30" applyAlignment="1" pivotButton="0" quotePrefix="0" xfId="0">
      <alignment horizontal="left" vertical="center"/>
    </xf>
    <xf numFmtId="166" fontId="7" fillId="3" borderId="11" applyAlignment="1" pivotButton="0" quotePrefix="0" xfId="0">
      <alignment vertical="center"/>
    </xf>
    <xf numFmtId="166" fontId="7" fillId="3" borderId="31" applyAlignment="1" pivotButton="0" quotePrefix="0" xfId="0">
      <alignment vertical="center"/>
    </xf>
    <xf numFmtId="0" fontId="10" fillId="0" borderId="0" pivotButton="0" quotePrefix="0" xfId="0"/>
    <xf numFmtId="0" fontId="5" fillId="0" borderId="27" pivotButton="0" quotePrefix="0" xfId="0"/>
    <xf numFmtId="166" fontId="5" fillId="3" borderId="2" applyAlignment="1" pivotButton="0" quotePrefix="0" xfId="0">
      <alignment vertical="center"/>
    </xf>
    <xf numFmtId="0" fontId="3" fillId="0" borderId="27" applyAlignment="1" pivotButton="0" quotePrefix="0" xfId="0">
      <alignment horizontal="left" vertical="top"/>
    </xf>
    <xf numFmtId="0" fontId="9" fillId="0" borderId="2" applyAlignment="1" pivotButton="0" quotePrefix="0" xfId="0">
      <alignment horizontal="left" vertical="top" wrapText="1"/>
    </xf>
    <xf numFmtId="0" fontId="0" fillId="0" borderId="2" applyProtection="1" pivotButton="0" quotePrefix="0" xfId="0">
      <protection locked="0" hidden="0"/>
    </xf>
    <xf numFmtId="0" fontId="0" fillId="0" borderId="22" pivotButton="0" quotePrefix="0" xfId="0"/>
    <xf numFmtId="0" fontId="0" fillId="0" borderId="32" pivotButton="0" quotePrefix="0" xfId="0"/>
    <xf numFmtId="0" fontId="0" fillId="0" borderId="24" pivotButton="0" quotePrefix="0" xfId="0"/>
    <xf numFmtId="0" fontId="0" fillId="0" borderId="33" pivotButton="0" quotePrefix="0" xfId="0"/>
  </cellXfs>
  <cellStyles count="1">
    <cellStyle name="Normal" xfId="0" builtinId="0" hidden="0"/>
  </cellStyles>
  <dxfs count="7">
    <dxf>
      <font>
        <name val="Segoe UI Semibold"/>
        <color rgb="008A5A19"/>
        <sz val="9"/>
      </font>
    </dxf>
    <dxf>
      <fill>
        <patternFill>
          <bgColor rgb="00FFFFFF"/>
        </patternFill>
      </fill>
      <border>
        <left style="thin">
          <color rgb="00FFFFFF"/>
        </left>
        <right style="thin">
          <color rgb="00FFFFFF"/>
        </right>
        <top style="thin">
          <color rgb="00FFFFFF"/>
        </top>
        <bottom style="thin">
          <color rgb="00FFFFFF"/>
        </bottom>
      </border>
    </dxf>
    <dxf>
      <font>
        <b val="1"/>
        <color rgb="008A5A19"/>
      </font>
      <fill>
        <patternFill>
          <bgColor rgb="00F6E3C9"/>
        </patternFill>
      </fill>
    </dxf>
    <dxf>
      <font>
        <name val="Segoe UI Semibold"/>
        <color rgb="00232A30"/>
        <sz val="10"/>
      </font>
      <fill>
        <patternFill>
          <bgColor rgb="00FFFFFF"/>
        </patternFill>
      </fill>
      <border>
        <left style="medium">
          <color rgb="009FACB4"/>
        </left>
        <right style="medium">
          <color rgb="009FACB4"/>
        </right>
        <top style="medium">
          <color rgb="009FACB4"/>
        </top>
        <bottom style="medium">
          <color rgb="009FACB4"/>
        </bottom>
      </border>
    </dxf>
    <dxf>
      <font>
        <b val="1"/>
        <color rgb="00232A30"/>
      </font>
      <fill>
        <patternFill>
          <bgColor rgb="00DCE7ED"/>
        </patternFill>
      </fill>
    </dxf>
    <dxf>
      <font>
        <b val="1"/>
        <color rgb="0096453A"/>
      </font>
      <fill>
        <patternFill>
          <bgColor rgb="00F6DAD5"/>
        </patternFill>
      </fill>
    </dxf>
    <dxf>
      <font>
        <color rgb="0098A2AA"/>
      </font>
      <fill>
        <patternFill>
          <bgColor rgb="00F3F5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5596E"/>
    <outlinePr summaryBelow="1" summaryRight="1"/>
    <pageSetUpPr/>
  </sheetPr>
  <dimension ref="A1:H63"/>
  <sheetViews>
    <sheetView showGridLines="0" zoomScale="100" workbookViewId="0">
      <selection activeCell="A1" sqref="A1"/>
    </sheetView>
  </sheetViews>
  <sheetFormatPr baseColWidth="8" defaultRowHeight="17"/>
  <cols>
    <col width="2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26" customHeight="1">
      <c r="A1" s="1" t="inlineStr">
        <is>
          <t>Kursmappe (Oberstufe) · Vorlage v15.2</t>
        </is>
      </c>
      <c r="B1" s="2" t="n"/>
      <c r="C1" s="2" t="n"/>
      <c r="D1" s="2" t="n"/>
      <c r="E1" s="2" t="n"/>
      <c r="F1" s="2" t="n"/>
      <c r="G1" s="2" t="n"/>
      <c r="H1" s="2" t="n"/>
    </row>
    <row r="3">
      <c r="B3" s="3" t="inlineStr">
        <is>
          <t>SCHNELL ZU DEN BLÄTTERN:</t>
        </is>
      </c>
      <c r="C3" s="4" t="n"/>
      <c r="D3" s="4" t="n"/>
      <c r="E3" s="4" t="n"/>
      <c r="F3" s="4" t="n"/>
      <c r="G3" s="4" t="n"/>
      <c r="H3" s="4" t="n"/>
    </row>
    <row r="4" ht="20" customHeight="1">
      <c r="B4" s="5">
        <f>HYPERLINK("#'Klassenliste'!A1","Klassenliste")</f>
        <v/>
      </c>
      <c r="C4" s="5">
        <f>HYPERLINK("#'Sitzplan'!A1","Sitzplan")</f>
        <v/>
      </c>
      <c r="D4" s="5">
        <f>HYPERLINK("#'Anw 1.HJ'!A1","Anw 1.HJ")</f>
        <v/>
      </c>
      <c r="E4" s="5">
        <f>HYPERLINK("#'Mat 1.HJ'!A1","Mat 1.HJ")</f>
        <v/>
      </c>
    </row>
    <row r="5" ht="20" customHeight="1">
      <c r="B5" s="5">
        <f>HYPERLINK("#'Noten 1.HJ'!A1","Noten 1.HJ")</f>
        <v/>
      </c>
      <c r="C5" s="5">
        <f>HYPERLINK("#'Anw 2.HJ'!A1","Anw 2.HJ")</f>
        <v/>
      </c>
      <c r="D5" s="5">
        <f>HYPERLINK("#'Mat 2.HJ'!A1","Mat 2.HJ")</f>
        <v/>
      </c>
      <c r="E5" s="5">
        <f>HYPERLINK("#'Noten 2.HJ'!A1","Noten 2.HJ")</f>
        <v/>
      </c>
    </row>
    <row r="6" ht="20" customHeight="1">
      <c r="B6" s="5">
        <f>HYPERLINK("#'Verspätung'!A1","Verspätung")</f>
        <v/>
      </c>
      <c r="C6" s="5">
        <f>HYPERLINK("#'KA1'!A1","KA1")</f>
        <v/>
      </c>
      <c r="D6" s="5">
        <f>HYPERLINK("#'KA2'!A1","KA2")</f>
        <v/>
      </c>
      <c r="E6" s="5">
        <f>HYPERLINK("#'KA3'!A1","KA3")</f>
        <v/>
      </c>
    </row>
    <row r="7" ht="20" customHeight="1">
      <c r="B7" s="5">
        <f>HYPERLINK("#'KA4'!A1","KA4")</f>
        <v/>
      </c>
      <c r="C7" s="5">
        <f>HYPERLINK("#'KA5'!A1","KA5")</f>
        <v/>
      </c>
      <c r="D7" s="5">
        <f>HYPERLINK("#'KA6'!A1","KA6")</f>
        <v/>
      </c>
      <c r="E7" s="5">
        <f>HYPERLINK("#'Notentabelle'!A1","Notentabelle")</f>
        <v/>
      </c>
    </row>
    <row r="8" ht="20" customHeight="1">
      <c r="B8" s="5">
        <f>HYPERLINK("#'Rückmeldebogen'!A1","Rückmeldebogen")</f>
        <v/>
      </c>
    </row>
    <row r="9" ht="15" customHeight="1">
      <c r="B9" s="6" t="inlineStr"/>
    </row>
    <row r="10" ht="15" customHeight="1">
      <c r="B10" s="3" t="inlineStr">
        <is>
          <t>NEUES SCHULJAHR IN 3 SCHRITTEN:</t>
        </is>
      </c>
      <c r="C10" s="4" t="n"/>
      <c r="D10" s="4" t="n"/>
      <c r="E10" s="4" t="n"/>
      <c r="F10" s="4" t="n"/>
      <c r="G10" s="4" t="n"/>
      <c r="H10" s="4" t="n"/>
    </row>
    <row r="11" ht="15" customHeight="1">
      <c r="B11" s="6" t="inlineStr">
        <is>
          <t xml:space="preserve">  1. Diese Datei kopieren und umbenennen, z. B. "Klassenmappe 5b 2026-27.xlsx".</t>
        </is>
      </c>
    </row>
    <row r="12" ht="15" customHeight="1">
      <c r="B12" s="6" t="inlineStr">
        <is>
          <t xml:space="preserve">  2. Blatt "Klassenliste": Kopfzeile und Namen eintragen.</t>
        </is>
      </c>
    </row>
    <row r="13" ht="15" customHeight="1">
      <c r="B13" s="6" t="inlineStr">
        <is>
          <t xml:space="preserve">  3. Fertig. Alle anderen Blätter füllen sich selbst aus der Klassenliste.</t>
        </is>
      </c>
    </row>
    <row r="14" ht="15" customHeight="1">
      <c r="B14" s="6" t="inlineStr"/>
    </row>
    <row r="15" ht="15" customHeight="1">
      <c r="B15" s="3" t="inlineStr">
        <is>
          <t>SCHÜLERZAHL:</t>
        </is>
      </c>
      <c r="C15" s="4" t="n"/>
      <c r="D15" s="4" t="n"/>
      <c r="E15" s="4" t="n"/>
      <c r="F15" s="4" t="n"/>
      <c r="G15" s="4" t="n"/>
      <c r="H15" s="4" t="n"/>
    </row>
    <row r="16" ht="15" customHeight="1">
      <c r="B16" s="6" t="inlineStr">
        <is>
          <t xml:space="preserve">  • Platz für bis zu 35 Schüler/innen. Weniger? Einfach weniger Namen eintragen —</t>
        </is>
      </c>
    </row>
    <row r="17" ht="15" customHeight="1">
      <c r="B17" s="6" t="inlineStr">
        <is>
          <t xml:space="preserve">    leere Zeilen blenden sich auf allen Blättern automatisch aus.</t>
        </is>
      </c>
    </row>
    <row r="18" ht="15" customHeight="1">
      <c r="B18" s="7" t="inlineStr">
        <is>
          <t xml:space="preserve">  • Zeilen NIE löschen oder einfügen — zum Entfernen den Namen leeren.</t>
        </is>
      </c>
    </row>
    <row r="19" ht="15" customHeight="1">
      <c r="B19" s="6" t="inlineStr"/>
    </row>
    <row r="20" ht="15" customHeight="1">
      <c r="B20" s="3" t="inlineStr">
        <is>
          <t>SORTIEREN &amp; REIHENFOLGE:</t>
        </is>
      </c>
      <c r="C20" s="4" t="n"/>
      <c r="D20" s="4" t="n"/>
      <c r="E20" s="4" t="n"/>
      <c r="F20" s="4" t="n"/>
      <c r="G20" s="4" t="n"/>
      <c r="H20" s="4" t="n"/>
    </row>
    <row r="21" ht="15" customHeight="1">
      <c r="B21" s="6" t="inlineStr">
        <is>
          <t xml:space="preserve">  • Die Zeilen-Reihenfolge der Klassenliste ist die Identität: alle Einträge auf den anderen</t>
        </is>
      </c>
    </row>
    <row r="22" ht="15" customHeight="1">
      <c r="B22" s="6" t="inlineStr">
        <is>
          <t xml:space="preserve">    Blättern hängen an der Zeilennummer. Darum hat die Klassenliste eine SORTIER-AMPEL (Zeile 4):</t>
        </is>
      </c>
    </row>
    <row r="23" ht="15" customHeight="1">
      <c r="B23" s="6" t="inlineStr">
        <is>
          <t xml:space="preserve">  • GRÜN = andere Blätter noch leer: B6:D40 markieren → Daten → Sortieren — gefahrlos,</t>
        </is>
      </c>
    </row>
    <row r="24" ht="15" customHeight="1">
      <c r="B24" s="6" t="inlineStr">
        <is>
          <t xml:space="preserve">    alle Blätter ziehen automatisch nach. Typisch: einmal am Schuljahresanfang nach dem Eintragen.</t>
        </is>
      </c>
    </row>
    <row r="25" ht="15" customHeight="1">
      <c r="B25" s="7" t="inlineStr">
        <is>
          <t xml:space="preserve">  • AMBER = es gibt schon Einträge: NICHT mehr sortieren. Neuzugänge unten anhängen —</t>
        </is>
      </c>
    </row>
    <row r="26" ht="15" customHeight="1">
      <c r="B26" s="6" t="inlineStr">
        <is>
          <t xml:space="preserve">    wie im Papier-Klassenbuch.</t>
        </is>
      </c>
    </row>
    <row r="27" ht="15" customHeight="1">
      <c r="B27" s="6" t="inlineStr">
        <is>
          <t xml:space="preserve">  • Notfall (mitten im Jahr doch umsortieren): die Werkstatt sortiert alle Blätter synchron</t>
        </is>
      </c>
    </row>
    <row r="28" ht="15" customHeight="1">
      <c r="B28" s="6" t="inlineStr">
        <is>
          <t xml:space="preserve">    (Werkzeug sortiere_mappe.py · Datei vorher schließen, Sicherungskopie entsteht automatisch).</t>
        </is>
      </c>
    </row>
    <row r="29" ht="15" customHeight="1">
      <c r="B29" s="6" t="inlineStr"/>
    </row>
    <row r="30" ht="15" customHeight="1">
      <c r="B30" s="3" t="inlineStr">
        <is>
          <t>FARBEN:</t>
        </is>
      </c>
      <c r="C30" s="4" t="n"/>
      <c r="D30" s="4" t="n"/>
      <c r="E30" s="4" t="n"/>
      <c r="F30" s="4" t="n"/>
      <c r="G30" s="4" t="n"/>
      <c r="H30" s="4" t="n"/>
    </row>
    <row r="31" ht="15" customHeight="1">
      <c r="B31" s="6" t="inlineStr">
        <is>
          <t xml:space="preserve">  • Weiße Zellen = Eingabe. Graue Zellen = rechnen selbst (gesperrt; Schutz ohne Passwort lösbar).</t>
        </is>
      </c>
    </row>
    <row r="32" ht="15" customHeight="1">
      <c r="B32" s="6" t="inlineStr">
        <is>
          <t xml:space="preserve">  • Amber = Hinweis (Note 5/6 bzw. Defizit, Kassen-Minus, unentschuldigte Fehlzeit) — zusätzlich fett gedruckt.</t>
        </is>
      </c>
    </row>
    <row r="33" ht="15" customHeight="1">
      <c r="B33" s="6" t="inlineStr">
        <is>
          <t xml:space="preserve">  • Rot = ungültige Punkte-Eingabe auf KA-Blättern (Text, negativ, über Maximum) — sofort korrigieren.</t>
        </is>
      </c>
    </row>
    <row r="34" ht="15" customHeight="1">
      <c r="B34" s="6" t="inlineStr"/>
    </row>
    <row r="35" ht="15" customHeight="1">
      <c r="B35" s="3" t="inlineStr">
        <is>
          <t>NOTEN:</t>
        </is>
      </c>
      <c r="C35" s="4" t="n"/>
      <c r="D35" s="4" t="n"/>
      <c r="E35" s="4" t="n"/>
      <c r="F35" s="4" t="n"/>
      <c r="G35" s="4" t="n"/>
      <c r="H35" s="4" t="n"/>
    </row>
    <row r="36" ht="15" customHeight="1">
      <c r="B36" s="6" t="inlineStr">
        <is>
          <t xml:space="preserve">  • Oberstufe rechnet in NOTENPUNKTEN (0–15), Schlüssel = amtliche Zentralabitur-Tabelle NRW.</t>
        </is>
      </c>
    </row>
    <row r="37" ht="15" customHeight="1">
      <c r="B37" s="6" t="inlineStr">
        <is>
          <t xml:space="preserve">  • Arbeiten in KA1–KA6 eintragen — die Note fließt automatisch in "Noten 1./2.HJ" (dort per KA-Nr zuordnen)</t>
        </is>
      </c>
    </row>
    <row r="38" ht="15" customHeight="1">
      <c r="B38" s="6" t="inlineStr">
        <is>
          <t xml:space="preserve">    und von dort in die Klassenliste.</t>
        </is>
      </c>
    </row>
    <row r="39" ht="15" customHeight="1">
      <c r="B39" s="6" t="inlineStr">
        <is>
          <t xml:space="preserve">  • Mitarbeits-Spalten m1–m6: in Zeile 5 darüber frei beschriften, was dahintersteckt</t>
        </is>
      </c>
    </row>
    <row r="40" ht="15" customHeight="1">
      <c r="B40" s="6" t="inlineStr">
        <is>
          <t xml:space="preserve">    (SoMi, Referat, Kurztest, Heftführung …) — die weiße Zeile ist dafür da.</t>
        </is>
      </c>
    </row>
    <row r="41" ht="15" customHeight="1">
      <c r="B41" s="6" t="inlineStr">
        <is>
          <t xml:space="preserve">  • Rückmeldebögen: Blatt "Rückmeldebogen", Nummer wählen, drucken — 2 je Seite, umrandet zum Auseinanderschneiden.</t>
        </is>
      </c>
    </row>
    <row r="42" ht="15" customHeight="1">
      <c r="B42" s="6" t="inlineStr">
        <is>
          <t xml:space="preserve">  • Lob / Hinweis: im Blatt KA1–KA6, Spalte T, je Kind eintragen — der Bogen zeigt den Text der gewählten</t>
        </is>
      </c>
    </row>
    <row r="43" ht="15" customHeight="1">
      <c r="B43" s="6" t="inlineStr">
        <is>
          <t xml:space="preserve">    Klassenarbeit; bleibt die Zelle leer, bleibt das Feld frei für Handschrift.</t>
        </is>
      </c>
    </row>
    <row r="44" ht="15" customHeight="1">
      <c r="B44" s="6" t="inlineStr"/>
    </row>
    <row r="45" ht="15" customHeight="1">
      <c r="B45" s="3" t="inlineStr">
        <is>
          <t>EINGABE-KÜRZEL:</t>
        </is>
      </c>
      <c r="C45" s="4" t="n"/>
      <c r="D45" s="4" t="n"/>
      <c r="E45" s="4" t="n"/>
      <c r="F45" s="4" t="n"/>
      <c r="G45" s="4" t="n"/>
      <c r="H45" s="4" t="n"/>
    </row>
    <row r="46" ht="15" customHeight="1">
      <c r="B46" s="6" t="inlineStr">
        <is>
          <t xml:space="preserve">  • Anwesenheit: e = entschuldigt, u = unentschuldigt, leer = da.  ·  Verspätung: eigenes Blatt, Minuten eintragen.</t>
        </is>
      </c>
    </row>
    <row r="47" ht="15" customHeight="1">
      <c r="B47" s="6" t="inlineStr">
        <is>
          <t xml:space="preserve">  • Material: M = Material vergessen, L = Lernzeit fehlt, i = iPad fehlt/ungeladen — in einer Zelle</t>
        </is>
      </c>
    </row>
    <row r="48" ht="15" customHeight="1">
      <c r="B48" s="6" t="inlineStr">
        <is>
          <t xml:space="preserve">    kombinierbar (MLi). Mehrere Schüler auf einmal: Zellen markieren, Kürzel tippen, Strg+Enter.</t>
        </is>
      </c>
    </row>
    <row r="49" ht="15" customHeight="1">
      <c r="B49" s="6" t="inlineStr"/>
    </row>
    <row r="50" ht="15" customHeight="1">
      <c r="B50" s="3" t="inlineStr">
        <is>
          <t>WENN DER PLATZ NICHT REICHT:</t>
        </is>
      </c>
      <c r="C50" s="4" t="n"/>
      <c r="D50" s="4" t="n"/>
      <c r="E50" s="4" t="n"/>
      <c r="F50" s="4" t="n"/>
      <c r="G50" s="4" t="n"/>
      <c r="H50" s="4" t="n"/>
    </row>
    <row r="51" ht="15" customHeight="1">
      <c r="B51" s="6" t="inlineStr">
        <is>
          <t xml:space="preserve">  • Eingebaute Reserven: 12 Aufgaben je Arbeit · 30 Termine je Anwesenheits-/Material-Halbjahr ·</t>
        </is>
      </c>
    </row>
    <row r="52" ht="15" customHeight="1">
      <c r="B52" s="6" t="inlineStr">
        <is>
          <t xml:space="preserve">    40 Verspätungstermine.</t>
        </is>
      </c>
    </row>
    <row r="53" ht="15" customHeight="1">
      <c r="B53" s="6" t="inlineStr">
        <is>
          <t xml:space="preserve">  • Mehr nötig? Eine Spalte MITTEN im Eingabebereich einfügen (nicht dahinter!) — erlaubt in</t>
        </is>
      </c>
    </row>
    <row r="54" ht="15" customHeight="1">
      <c r="B54" s="6" t="inlineStr">
        <is>
          <t xml:space="preserve">    Anwesenheit, Material, Verspätung, Mitarbeit (m-Spalten). Die Formeln wachsen mit,</t>
        </is>
      </c>
    </row>
    <row r="55" ht="15" customHeight="1">
      <c r="B55" s="6" t="inlineStr">
        <is>
          <t xml:space="preserve">    der Blattschutz lässt das Einfügen dort zu.</t>
        </is>
      </c>
    </row>
    <row r="56" ht="15" customHeight="1">
      <c r="B56" s="6" t="inlineStr">
        <is>
          <t xml:space="preserve">  • Handgriffe danach: Mitarbeit → Gewicht in Zeile 4 eintragen (Eintrag ohne Gewicht leuchtet rot).</t>
        </is>
      </c>
    </row>
    <row r="57" ht="15" customHeight="1">
      <c r="B57" s="7" t="inlineStr">
        <is>
          <t xml:space="preserve">  • In KA-Blättern ist Spalten-Einfügen GESPERRT: der Rückmeldebogen druckt fest 12 Aufgaben.</t>
        </is>
      </c>
    </row>
    <row r="58" ht="15" customHeight="1">
      <c r="B58" s="6" t="inlineStr">
        <is>
          <t xml:space="preserve">    Wenn dort mehr nötig ist: Vorlage erweitern lassen.</t>
        </is>
      </c>
    </row>
    <row r="59" ht="15" customHeight="1">
      <c r="B59" s="6" t="inlineStr"/>
    </row>
    <row r="60" ht="15" customHeight="1">
      <c r="B60" s="6" t="inlineStr">
        <is>
          <t>DATENSCHUTZ: Diese Datei enthält Schülerdaten. Nicht in Cloud-Ordner legen, Weitergabe nur</t>
        </is>
      </c>
    </row>
    <row r="61" ht="15" customHeight="1">
      <c r="B61" s="6" t="inlineStr">
        <is>
          <t>verschlüsselt (Datei → Informationen → Arbeitsmappe schützen → mit Kennwort verschlüsseln).</t>
        </is>
      </c>
    </row>
    <row r="62" ht="15" customHeight="1">
      <c r="B62" s="6" t="inlineStr"/>
    </row>
    <row r="63" ht="15" customHeight="1">
      <c r="B63" s="6" t="inlineStr">
        <is>
          <t>Vorlage v15.2 · 2026-09-30 · Notengrenzen = amtliche Zentralabitur-Tabelle NRW</t>
        </is>
      </c>
    </row>
  </sheetData>
  <mergeCells count="1">
    <mergeCell ref="A1:H1"/>
  </mergeCells>
  <pageMargins left="0.75" right="0.75" top="1" bottom="1" header="0.5" footer="0.5"/>
  <pageSetup paperSize="9"/>
</worksheet>
</file>

<file path=xl/worksheets/sheet2.xml><?xml version="1.0" encoding="utf-8"?>
<worksheet xmlns="http://schemas.openxmlformats.org/spreadsheetml/2006/main">
  <sheetPr>
    <tabColor rgb="0035596E"/>
    <outlinePr summaryBelow="1" summaryRight="1"/>
    <pageSetUpPr fitToPage="1"/>
  </sheetPr>
  <dimension ref="A1:AA40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4" customWidth="1" min="1" max="1"/>
    <col width="16" customWidth="1" min="2" max="2"/>
    <col width="14" customWidth="1" min="3" max="3"/>
    <col width="22" customWidth="1" min="4" max="4"/>
    <col width="8" customWidth="1" min="5" max="5"/>
    <col width="6" customWidth="1" min="6" max="6"/>
    <col width="8" customWidth="1" min="7" max="7"/>
    <col width="6" customWidth="1" min="8" max="8"/>
    <col width="8" customWidth="1" min="9" max="9"/>
    <col width="8" customWidth="1" min="10" max="10"/>
    <col width="8" customWidth="1" min="11" max="11"/>
    <col width="8" customWidth="1" min="12" max="12"/>
    <col hidden="1" width="13" customWidth="1" min="27" max="27"/>
  </cols>
  <sheetData>
    <row r="1" ht="26" customHeight="1">
      <c r="A1" s="1" t="inlineStr">
        <is>
          <t>Kursliste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8">
        <f>HYPERLINK("#Start!A1","⌂")</f>
        <v/>
      </c>
    </row>
    <row r="2">
      <c r="B2" s="9" t="inlineStr">
        <is>
          <t>Schuljahr:</t>
        </is>
      </c>
      <c r="C2" s="10" t="inlineStr"/>
      <c r="D2" s="9" t="inlineStr">
        <is>
          <t>Kurs:</t>
        </is>
      </c>
      <c r="E2" s="10" t="inlineStr"/>
      <c r="F2" s="9" t="inlineStr">
        <is>
          <t>Lehrkraft:</t>
        </is>
      </c>
      <c r="H2" s="11" t="inlineStr"/>
      <c r="I2" s="9" t="inlineStr">
        <is>
          <t>Fach:</t>
        </is>
      </c>
      <c r="J2" s="11" t="inlineStr"/>
    </row>
    <row r="3" ht="14" customHeight="1">
      <c r="B3" s="12" t="inlineStr">
        <is>
          <t>leere Zeilen blenden sich automatisch aus · Neuzugänge unten anhängen (wie im Papier-Klassenbuch)</t>
        </is>
      </c>
    </row>
    <row r="4" ht="15" customHeight="1">
      <c r="B4" s="13">
        <f>IF($AA$4=0,"✓ Sortieren möglich — B6:D40 markieren","✗ Nicht sortieren — "&amp;$AA$4&amp;" Einträge")</f>
        <v/>
      </c>
      <c r="E4" s="14" t="inlineStr">
        <is>
          <t>1. Halbjahr</t>
        </is>
      </c>
      <c r="F4" s="15" t="n"/>
      <c r="G4" s="14" t="inlineStr">
        <is>
          <t>2. Halbjahr</t>
        </is>
      </c>
      <c r="H4" s="15" t="n"/>
      <c r="I4" s="14" t="inlineStr">
        <is>
          <t>Fehlzeiten (FS · davon uE)</t>
        </is>
      </c>
      <c r="J4" s="15" t="n"/>
      <c r="K4" s="15" t="n"/>
      <c r="L4" s="15" t="n"/>
      <c r="AA4" s="16">
        <f>COUNTA(KA1!$D$8:$O$42)+COUNTA(KA2!$D$8:$O$42)+COUNTA(KA3!$D$8:$O$42)+COUNTA(KA4!$D$8:$O$42)+COUNTA(KA5!$D$8:$O$42)+COUNTA(KA6!$D$8:$O$42)+COUNTA('Noten 1.HJ'!$J$7:$O$41)+COUNTA('Noten 1.HJ'!$T$7:$Y$41)+COUNTA('Anw 1.HJ'!$F$6:$AI$40)+COUNTA('Mat 1.HJ'!$G$6:$AJ$40)+COUNTA('Noten 2.HJ'!$J$7:$O$41)+COUNTA('Noten 2.HJ'!$T$7:$Y$41)+COUNTA('Anw 2.HJ'!$F$6:$AI$40)+COUNTA('Mat 2.HJ'!$G$6:$AJ$40)+COUNTA('Verspätung'!$F$6:$AS$40)+COUNTA(Sitzplan!$B$4:$M$14)</f>
        <v/>
      </c>
    </row>
    <row r="5" ht="18" customHeight="1">
      <c r="A5" s="17" t="inlineStr">
        <is>
          <t>Nr</t>
        </is>
      </c>
      <c r="B5" s="18" t="inlineStr">
        <is>
          <t>Name</t>
        </is>
      </c>
      <c r="C5" s="18" t="inlineStr">
        <is>
          <t>Vorname</t>
        </is>
      </c>
      <c r="D5" s="18" t="inlineStr">
        <is>
          <t>Notiz</t>
        </is>
      </c>
      <c r="E5" s="17" t="inlineStr">
        <is>
          <t>Pkt</t>
        </is>
      </c>
      <c r="F5" s="17" t="inlineStr">
        <is>
          <t>Note</t>
        </is>
      </c>
      <c r="G5" s="17" t="inlineStr">
        <is>
          <t>Pkt</t>
        </is>
      </c>
      <c r="H5" s="17" t="inlineStr">
        <is>
          <t>Note</t>
        </is>
      </c>
      <c r="I5" s="17" t="inlineStr">
        <is>
          <t>1.HJ</t>
        </is>
      </c>
      <c r="J5" s="17" t="inlineStr">
        <is>
          <t>uE</t>
        </is>
      </c>
      <c r="K5" s="17" t="inlineStr">
        <is>
          <t>2.HJ</t>
        </is>
      </c>
      <c r="L5" s="17" t="inlineStr">
        <is>
          <t>uE</t>
        </is>
      </c>
    </row>
    <row r="6">
      <c r="A6" s="19" t="n">
        <v>1</v>
      </c>
      <c r="B6" s="20" t="inlineStr"/>
      <c r="C6" s="20" t="inlineStr"/>
      <c r="D6" s="21" t="inlineStr"/>
      <c r="E6" s="19">
        <f>IF($B6="","",INDEX('Noten 1.HJ'!$AA$7:$AA$41,$A6))</f>
        <v/>
      </c>
      <c r="F6" s="22">
        <f>IF($B6="","",INDEX('Noten 1.HJ'!$AB$7:$AB$41,$A6))</f>
        <v/>
      </c>
      <c r="G6" s="19">
        <f>IF($B6="","",INDEX('Noten 2.HJ'!$AA$7:$AA$41,$A6))</f>
        <v/>
      </c>
      <c r="H6" s="22">
        <f>IF($B6="","",INDEX('Noten 2.HJ'!$AB$7:$AB$41,$A6))</f>
        <v/>
      </c>
      <c r="I6" s="19">
        <f>IF($B6="","",INDEX('Anw 1.HJ'!$D$6:$D$40,$A6))</f>
        <v/>
      </c>
      <c r="J6" s="19">
        <f>IF($B6="","",INDEX('Anw 1.HJ'!$E$6:$E$40,$A6))</f>
        <v/>
      </c>
      <c r="K6" s="19">
        <f>IF($B6="","",INDEX('Anw 2.HJ'!$D$6:$D$40,$A6))</f>
        <v/>
      </c>
      <c r="L6" s="19">
        <f>IF($B6="","",INDEX('Anw 2.HJ'!$E$6:$E$40,$A6))</f>
        <v/>
      </c>
    </row>
    <row r="7">
      <c r="A7" s="19" t="n">
        <v>2</v>
      </c>
      <c r="B7" s="20" t="inlineStr"/>
      <c r="C7" s="20" t="inlineStr"/>
      <c r="D7" s="21" t="inlineStr"/>
      <c r="E7" s="19">
        <f>IF($B7="","",INDEX('Noten 1.HJ'!$AA$7:$AA$41,$A7))</f>
        <v/>
      </c>
      <c r="F7" s="22">
        <f>IF($B7="","",INDEX('Noten 1.HJ'!$AB$7:$AB$41,$A7))</f>
        <v/>
      </c>
      <c r="G7" s="19">
        <f>IF($B7="","",INDEX('Noten 2.HJ'!$AA$7:$AA$41,$A7))</f>
        <v/>
      </c>
      <c r="H7" s="22">
        <f>IF($B7="","",INDEX('Noten 2.HJ'!$AB$7:$AB$41,$A7))</f>
        <v/>
      </c>
      <c r="I7" s="19">
        <f>IF($B7="","",INDEX('Anw 1.HJ'!$D$6:$D$40,$A7))</f>
        <v/>
      </c>
      <c r="J7" s="19">
        <f>IF($B7="","",INDEX('Anw 1.HJ'!$E$6:$E$40,$A7))</f>
        <v/>
      </c>
      <c r="K7" s="19">
        <f>IF($B7="","",INDEX('Anw 2.HJ'!$D$6:$D$40,$A7))</f>
        <v/>
      </c>
      <c r="L7" s="19">
        <f>IF($B7="","",INDEX('Anw 2.HJ'!$E$6:$E$40,$A7))</f>
        <v/>
      </c>
    </row>
    <row r="8">
      <c r="A8" s="19" t="n">
        <v>3</v>
      </c>
      <c r="B8" s="20" t="inlineStr"/>
      <c r="C8" s="20" t="inlineStr"/>
      <c r="D8" s="21" t="inlineStr"/>
      <c r="E8" s="19">
        <f>IF($B8="","",INDEX('Noten 1.HJ'!$AA$7:$AA$41,$A8))</f>
        <v/>
      </c>
      <c r="F8" s="22">
        <f>IF($B8="","",INDEX('Noten 1.HJ'!$AB$7:$AB$41,$A8))</f>
        <v/>
      </c>
      <c r="G8" s="19">
        <f>IF($B8="","",INDEX('Noten 2.HJ'!$AA$7:$AA$41,$A8))</f>
        <v/>
      </c>
      <c r="H8" s="22">
        <f>IF($B8="","",INDEX('Noten 2.HJ'!$AB$7:$AB$41,$A8))</f>
        <v/>
      </c>
      <c r="I8" s="19">
        <f>IF($B8="","",INDEX('Anw 1.HJ'!$D$6:$D$40,$A8))</f>
        <v/>
      </c>
      <c r="J8" s="19">
        <f>IF($B8="","",INDEX('Anw 1.HJ'!$E$6:$E$40,$A8))</f>
        <v/>
      </c>
      <c r="K8" s="19">
        <f>IF($B8="","",INDEX('Anw 2.HJ'!$D$6:$D$40,$A8))</f>
        <v/>
      </c>
      <c r="L8" s="19">
        <f>IF($B8="","",INDEX('Anw 2.HJ'!$E$6:$E$40,$A8))</f>
        <v/>
      </c>
    </row>
    <row r="9">
      <c r="A9" s="19" t="n">
        <v>4</v>
      </c>
      <c r="B9" s="20" t="inlineStr"/>
      <c r="C9" s="20" t="inlineStr"/>
      <c r="D9" s="21" t="inlineStr"/>
      <c r="E9" s="19">
        <f>IF($B9="","",INDEX('Noten 1.HJ'!$AA$7:$AA$41,$A9))</f>
        <v/>
      </c>
      <c r="F9" s="22">
        <f>IF($B9="","",INDEX('Noten 1.HJ'!$AB$7:$AB$41,$A9))</f>
        <v/>
      </c>
      <c r="G9" s="19">
        <f>IF($B9="","",INDEX('Noten 2.HJ'!$AA$7:$AA$41,$A9))</f>
        <v/>
      </c>
      <c r="H9" s="22">
        <f>IF($B9="","",INDEX('Noten 2.HJ'!$AB$7:$AB$41,$A9))</f>
        <v/>
      </c>
      <c r="I9" s="19">
        <f>IF($B9="","",INDEX('Anw 1.HJ'!$D$6:$D$40,$A9))</f>
        <v/>
      </c>
      <c r="J9" s="19">
        <f>IF($B9="","",INDEX('Anw 1.HJ'!$E$6:$E$40,$A9))</f>
        <v/>
      </c>
      <c r="K9" s="19">
        <f>IF($B9="","",INDEX('Anw 2.HJ'!$D$6:$D$40,$A9))</f>
        <v/>
      </c>
      <c r="L9" s="19">
        <f>IF($B9="","",INDEX('Anw 2.HJ'!$E$6:$E$40,$A9))</f>
        <v/>
      </c>
    </row>
    <row r="10">
      <c r="A10" s="19" t="n">
        <v>5</v>
      </c>
      <c r="B10" s="20" t="inlineStr"/>
      <c r="C10" s="20" t="inlineStr"/>
      <c r="D10" s="21" t="inlineStr"/>
      <c r="E10" s="19">
        <f>IF($B10="","",INDEX('Noten 1.HJ'!$AA$7:$AA$41,$A10))</f>
        <v/>
      </c>
      <c r="F10" s="22">
        <f>IF($B10="","",INDEX('Noten 1.HJ'!$AB$7:$AB$41,$A10))</f>
        <v/>
      </c>
      <c r="G10" s="19">
        <f>IF($B10="","",INDEX('Noten 2.HJ'!$AA$7:$AA$41,$A10))</f>
        <v/>
      </c>
      <c r="H10" s="22">
        <f>IF($B10="","",INDEX('Noten 2.HJ'!$AB$7:$AB$41,$A10))</f>
        <v/>
      </c>
      <c r="I10" s="19">
        <f>IF($B10="","",INDEX('Anw 1.HJ'!$D$6:$D$40,$A10))</f>
        <v/>
      </c>
      <c r="J10" s="19">
        <f>IF($B10="","",INDEX('Anw 1.HJ'!$E$6:$E$40,$A10))</f>
        <v/>
      </c>
      <c r="K10" s="19">
        <f>IF($B10="","",INDEX('Anw 2.HJ'!$D$6:$D$40,$A10))</f>
        <v/>
      </c>
      <c r="L10" s="19">
        <f>IF($B10="","",INDEX('Anw 2.HJ'!$E$6:$E$40,$A10))</f>
        <v/>
      </c>
    </row>
    <row r="11">
      <c r="A11" s="19" t="n">
        <v>6</v>
      </c>
      <c r="B11" s="20" t="inlineStr"/>
      <c r="C11" s="20" t="inlineStr"/>
      <c r="D11" s="21" t="inlineStr"/>
      <c r="E11" s="19">
        <f>IF($B11="","",INDEX('Noten 1.HJ'!$AA$7:$AA$41,$A11))</f>
        <v/>
      </c>
      <c r="F11" s="22">
        <f>IF($B11="","",INDEX('Noten 1.HJ'!$AB$7:$AB$41,$A11))</f>
        <v/>
      </c>
      <c r="G11" s="19">
        <f>IF($B11="","",INDEX('Noten 2.HJ'!$AA$7:$AA$41,$A11))</f>
        <v/>
      </c>
      <c r="H11" s="22">
        <f>IF($B11="","",INDEX('Noten 2.HJ'!$AB$7:$AB$41,$A11))</f>
        <v/>
      </c>
      <c r="I11" s="19">
        <f>IF($B11="","",INDEX('Anw 1.HJ'!$D$6:$D$40,$A11))</f>
        <v/>
      </c>
      <c r="J11" s="19">
        <f>IF($B11="","",INDEX('Anw 1.HJ'!$E$6:$E$40,$A11))</f>
        <v/>
      </c>
      <c r="K11" s="19">
        <f>IF($B11="","",INDEX('Anw 2.HJ'!$D$6:$D$40,$A11))</f>
        <v/>
      </c>
      <c r="L11" s="19">
        <f>IF($B11="","",INDEX('Anw 2.HJ'!$E$6:$E$40,$A11))</f>
        <v/>
      </c>
    </row>
    <row r="12">
      <c r="A12" s="19" t="n">
        <v>7</v>
      </c>
      <c r="B12" s="20" t="inlineStr"/>
      <c r="C12" s="20" t="inlineStr"/>
      <c r="D12" s="21" t="inlineStr"/>
      <c r="E12" s="19">
        <f>IF($B12="","",INDEX('Noten 1.HJ'!$AA$7:$AA$41,$A12))</f>
        <v/>
      </c>
      <c r="F12" s="22">
        <f>IF($B12="","",INDEX('Noten 1.HJ'!$AB$7:$AB$41,$A12))</f>
        <v/>
      </c>
      <c r="G12" s="19">
        <f>IF($B12="","",INDEX('Noten 2.HJ'!$AA$7:$AA$41,$A12))</f>
        <v/>
      </c>
      <c r="H12" s="22">
        <f>IF($B12="","",INDEX('Noten 2.HJ'!$AB$7:$AB$41,$A12))</f>
        <v/>
      </c>
      <c r="I12" s="19">
        <f>IF($B12="","",INDEX('Anw 1.HJ'!$D$6:$D$40,$A12))</f>
        <v/>
      </c>
      <c r="J12" s="19">
        <f>IF($B12="","",INDEX('Anw 1.HJ'!$E$6:$E$40,$A12))</f>
        <v/>
      </c>
      <c r="K12" s="19">
        <f>IF($B12="","",INDEX('Anw 2.HJ'!$D$6:$D$40,$A12))</f>
        <v/>
      </c>
      <c r="L12" s="19">
        <f>IF($B12="","",INDEX('Anw 2.HJ'!$E$6:$E$40,$A12))</f>
        <v/>
      </c>
    </row>
    <row r="13">
      <c r="A13" s="19" t="n">
        <v>8</v>
      </c>
      <c r="B13" s="20" t="inlineStr"/>
      <c r="C13" s="20" t="inlineStr"/>
      <c r="D13" s="21" t="inlineStr"/>
      <c r="E13" s="19">
        <f>IF($B13="","",INDEX('Noten 1.HJ'!$AA$7:$AA$41,$A13))</f>
        <v/>
      </c>
      <c r="F13" s="22">
        <f>IF($B13="","",INDEX('Noten 1.HJ'!$AB$7:$AB$41,$A13))</f>
        <v/>
      </c>
      <c r="G13" s="19">
        <f>IF($B13="","",INDEX('Noten 2.HJ'!$AA$7:$AA$41,$A13))</f>
        <v/>
      </c>
      <c r="H13" s="22">
        <f>IF($B13="","",INDEX('Noten 2.HJ'!$AB$7:$AB$41,$A13))</f>
        <v/>
      </c>
      <c r="I13" s="19">
        <f>IF($B13="","",INDEX('Anw 1.HJ'!$D$6:$D$40,$A13))</f>
        <v/>
      </c>
      <c r="J13" s="19">
        <f>IF($B13="","",INDEX('Anw 1.HJ'!$E$6:$E$40,$A13))</f>
        <v/>
      </c>
      <c r="K13" s="19">
        <f>IF($B13="","",INDEX('Anw 2.HJ'!$D$6:$D$40,$A13))</f>
        <v/>
      </c>
      <c r="L13" s="19">
        <f>IF($B13="","",INDEX('Anw 2.HJ'!$E$6:$E$40,$A13))</f>
        <v/>
      </c>
    </row>
    <row r="14">
      <c r="A14" s="19" t="n">
        <v>9</v>
      </c>
      <c r="B14" s="20" t="inlineStr"/>
      <c r="C14" s="20" t="inlineStr"/>
      <c r="D14" s="21" t="inlineStr"/>
      <c r="E14" s="19">
        <f>IF($B14="","",INDEX('Noten 1.HJ'!$AA$7:$AA$41,$A14))</f>
        <v/>
      </c>
      <c r="F14" s="22">
        <f>IF($B14="","",INDEX('Noten 1.HJ'!$AB$7:$AB$41,$A14))</f>
        <v/>
      </c>
      <c r="G14" s="19">
        <f>IF($B14="","",INDEX('Noten 2.HJ'!$AA$7:$AA$41,$A14))</f>
        <v/>
      </c>
      <c r="H14" s="22">
        <f>IF($B14="","",INDEX('Noten 2.HJ'!$AB$7:$AB$41,$A14))</f>
        <v/>
      </c>
      <c r="I14" s="19">
        <f>IF($B14="","",INDEX('Anw 1.HJ'!$D$6:$D$40,$A14))</f>
        <v/>
      </c>
      <c r="J14" s="19">
        <f>IF($B14="","",INDEX('Anw 1.HJ'!$E$6:$E$40,$A14))</f>
        <v/>
      </c>
      <c r="K14" s="19">
        <f>IF($B14="","",INDEX('Anw 2.HJ'!$D$6:$D$40,$A14))</f>
        <v/>
      </c>
      <c r="L14" s="19">
        <f>IF($B14="","",INDEX('Anw 2.HJ'!$E$6:$E$40,$A14))</f>
        <v/>
      </c>
    </row>
    <row r="15">
      <c r="A15" s="19" t="n">
        <v>10</v>
      </c>
      <c r="B15" s="20" t="inlineStr"/>
      <c r="C15" s="20" t="inlineStr"/>
      <c r="D15" s="21" t="inlineStr"/>
      <c r="E15" s="19">
        <f>IF($B15="","",INDEX('Noten 1.HJ'!$AA$7:$AA$41,$A15))</f>
        <v/>
      </c>
      <c r="F15" s="22">
        <f>IF($B15="","",INDEX('Noten 1.HJ'!$AB$7:$AB$41,$A15))</f>
        <v/>
      </c>
      <c r="G15" s="19">
        <f>IF($B15="","",INDEX('Noten 2.HJ'!$AA$7:$AA$41,$A15))</f>
        <v/>
      </c>
      <c r="H15" s="22">
        <f>IF($B15="","",INDEX('Noten 2.HJ'!$AB$7:$AB$41,$A15))</f>
        <v/>
      </c>
      <c r="I15" s="19">
        <f>IF($B15="","",INDEX('Anw 1.HJ'!$D$6:$D$40,$A15))</f>
        <v/>
      </c>
      <c r="J15" s="19">
        <f>IF($B15="","",INDEX('Anw 1.HJ'!$E$6:$E$40,$A15))</f>
        <v/>
      </c>
      <c r="K15" s="19">
        <f>IF($B15="","",INDEX('Anw 2.HJ'!$D$6:$D$40,$A15))</f>
        <v/>
      </c>
      <c r="L15" s="19">
        <f>IF($B15="","",INDEX('Anw 2.HJ'!$E$6:$E$40,$A15))</f>
        <v/>
      </c>
    </row>
    <row r="16">
      <c r="A16" s="19" t="n">
        <v>11</v>
      </c>
      <c r="B16" s="20" t="inlineStr"/>
      <c r="C16" s="20" t="inlineStr"/>
      <c r="D16" s="21" t="inlineStr"/>
      <c r="E16" s="19">
        <f>IF($B16="","",INDEX('Noten 1.HJ'!$AA$7:$AA$41,$A16))</f>
        <v/>
      </c>
      <c r="F16" s="22">
        <f>IF($B16="","",INDEX('Noten 1.HJ'!$AB$7:$AB$41,$A16))</f>
        <v/>
      </c>
      <c r="G16" s="19">
        <f>IF($B16="","",INDEX('Noten 2.HJ'!$AA$7:$AA$41,$A16))</f>
        <v/>
      </c>
      <c r="H16" s="22">
        <f>IF($B16="","",INDEX('Noten 2.HJ'!$AB$7:$AB$41,$A16))</f>
        <v/>
      </c>
      <c r="I16" s="19">
        <f>IF($B16="","",INDEX('Anw 1.HJ'!$D$6:$D$40,$A16))</f>
        <v/>
      </c>
      <c r="J16" s="19">
        <f>IF($B16="","",INDEX('Anw 1.HJ'!$E$6:$E$40,$A16))</f>
        <v/>
      </c>
      <c r="K16" s="19">
        <f>IF($B16="","",INDEX('Anw 2.HJ'!$D$6:$D$40,$A16))</f>
        <v/>
      </c>
      <c r="L16" s="19">
        <f>IF($B16="","",INDEX('Anw 2.HJ'!$E$6:$E$40,$A16))</f>
        <v/>
      </c>
    </row>
    <row r="17">
      <c r="A17" s="19" t="n">
        <v>12</v>
      </c>
      <c r="B17" s="20" t="inlineStr"/>
      <c r="C17" s="20" t="inlineStr"/>
      <c r="D17" s="21" t="inlineStr"/>
      <c r="E17" s="19">
        <f>IF($B17="","",INDEX('Noten 1.HJ'!$AA$7:$AA$41,$A17))</f>
        <v/>
      </c>
      <c r="F17" s="22">
        <f>IF($B17="","",INDEX('Noten 1.HJ'!$AB$7:$AB$41,$A17))</f>
        <v/>
      </c>
      <c r="G17" s="19">
        <f>IF($B17="","",INDEX('Noten 2.HJ'!$AA$7:$AA$41,$A17))</f>
        <v/>
      </c>
      <c r="H17" s="22">
        <f>IF($B17="","",INDEX('Noten 2.HJ'!$AB$7:$AB$41,$A17))</f>
        <v/>
      </c>
      <c r="I17" s="19">
        <f>IF($B17="","",INDEX('Anw 1.HJ'!$D$6:$D$40,$A17))</f>
        <v/>
      </c>
      <c r="J17" s="19">
        <f>IF($B17="","",INDEX('Anw 1.HJ'!$E$6:$E$40,$A17))</f>
        <v/>
      </c>
      <c r="K17" s="19">
        <f>IF($B17="","",INDEX('Anw 2.HJ'!$D$6:$D$40,$A17))</f>
        <v/>
      </c>
      <c r="L17" s="19">
        <f>IF($B17="","",INDEX('Anw 2.HJ'!$E$6:$E$40,$A17))</f>
        <v/>
      </c>
    </row>
    <row r="18">
      <c r="A18" s="19" t="n">
        <v>13</v>
      </c>
      <c r="B18" s="20" t="inlineStr"/>
      <c r="C18" s="20" t="inlineStr"/>
      <c r="D18" s="21" t="inlineStr"/>
      <c r="E18" s="19">
        <f>IF($B18="","",INDEX('Noten 1.HJ'!$AA$7:$AA$41,$A18))</f>
        <v/>
      </c>
      <c r="F18" s="22">
        <f>IF($B18="","",INDEX('Noten 1.HJ'!$AB$7:$AB$41,$A18))</f>
        <v/>
      </c>
      <c r="G18" s="19">
        <f>IF($B18="","",INDEX('Noten 2.HJ'!$AA$7:$AA$41,$A18))</f>
        <v/>
      </c>
      <c r="H18" s="22">
        <f>IF($B18="","",INDEX('Noten 2.HJ'!$AB$7:$AB$41,$A18))</f>
        <v/>
      </c>
      <c r="I18" s="19">
        <f>IF($B18="","",INDEX('Anw 1.HJ'!$D$6:$D$40,$A18))</f>
        <v/>
      </c>
      <c r="J18" s="19">
        <f>IF($B18="","",INDEX('Anw 1.HJ'!$E$6:$E$40,$A18))</f>
        <v/>
      </c>
      <c r="K18" s="19">
        <f>IF($B18="","",INDEX('Anw 2.HJ'!$D$6:$D$40,$A18))</f>
        <v/>
      </c>
      <c r="L18" s="19">
        <f>IF($B18="","",INDEX('Anw 2.HJ'!$E$6:$E$40,$A18))</f>
        <v/>
      </c>
    </row>
    <row r="19">
      <c r="A19" s="19" t="n">
        <v>14</v>
      </c>
      <c r="B19" s="20" t="inlineStr"/>
      <c r="C19" s="20" t="inlineStr"/>
      <c r="D19" s="21" t="inlineStr"/>
      <c r="E19" s="19">
        <f>IF($B19="","",INDEX('Noten 1.HJ'!$AA$7:$AA$41,$A19))</f>
        <v/>
      </c>
      <c r="F19" s="22">
        <f>IF($B19="","",INDEX('Noten 1.HJ'!$AB$7:$AB$41,$A19))</f>
        <v/>
      </c>
      <c r="G19" s="19">
        <f>IF($B19="","",INDEX('Noten 2.HJ'!$AA$7:$AA$41,$A19))</f>
        <v/>
      </c>
      <c r="H19" s="22">
        <f>IF($B19="","",INDEX('Noten 2.HJ'!$AB$7:$AB$41,$A19))</f>
        <v/>
      </c>
      <c r="I19" s="19">
        <f>IF($B19="","",INDEX('Anw 1.HJ'!$D$6:$D$40,$A19))</f>
        <v/>
      </c>
      <c r="J19" s="19">
        <f>IF($B19="","",INDEX('Anw 1.HJ'!$E$6:$E$40,$A19))</f>
        <v/>
      </c>
      <c r="K19" s="19">
        <f>IF($B19="","",INDEX('Anw 2.HJ'!$D$6:$D$40,$A19))</f>
        <v/>
      </c>
      <c r="L19" s="19">
        <f>IF($B19="","",INDEX('Anw 2.HJ'!$E$6:$E$40,$A19))</f>
        <v/>
      </c>
    </row>
    <row r="20">
      <c r="A20" s="19" t="n">
        <v>15</v>
      </c>
      <c r="B20" s="20" t="inlineStr"/>
      <c r="C20" s="20" t="inlineStr"/>
      <c r="D20" s="21" t="inlineStr"/>
      <c r="E20" s="19">
        <f>IF($B20="","",INDEX('Noten 1.HJ'!$AA$7:$AA$41,$A20))</f>
        <v/>
      </c>
      <c r="F20" s="22">
        <f>IF($B20="","",INDEX('Noten 1.HJ'!$AB$7:$AB$41,$A20))</f>
        <v/>
      </c>
      <c r="G20" s="19">
        <f>IF($B20="","",INDEX('Noten 2.HJ'!$AA$7:$AA$41,$A20))</f>
        <v/>
      </c>
      <c r="H20" s="22">
        <f>IF($B20="","",INDEX('Noten 2.HJ'!$AB$7:$AB$41,$A20))</f>
        <v/>
      </c>
      <c r="I20" s="19">
        <f>IF($B20="","",INDEX('Anw 1.HJ'!$D$6:$D$40,$A20))</f>
        <v/>
      </c>
      <c r="J20" s="19">
        <f>IF($B20="","",INDEX('Anw 1.HJ'!$E$6:$E$40,$A20))</f>
        <v/>
      </c>
      <c r="K20" s="19">
        <f>IF($B20="","",INDEX('Anw 2.HJ'!$D$6:$D$40,$A20))</f>
        <v/>
      </c>
      <c r="L20" s="19">
        <f>IF($B20="","",INDEX('Anw 2.HJ'!$E$6:$E$40,$A20))</f>
        <v/>
      </c>
    </row>
    <row r="21">
      <c r="A21" s="19" t="n">
        <v>16</v>
      </c>
      <c r="B21" s="20" t="inlineStr"/>
      <c r="C21" s="20" t="inlineStr"/>
      <c r="D21" s="21" t="inlineStr"/>
      <c r="E21" s="19">
        <f>IF($B21="","",INDEX('Noten 1.HJ'!$AA$7:$AA$41,$A21))</f>
        <v/>
      </c>
      <c r="F21" s="22">
        <f>IF($B21="","",INDEX('Noten 1.HJ'!$AB$7:$AB$41,$A21))</f>
        <v/>
      </c>
      <c r="G21" s="19">
        <f>IF($B21="","",INDEX('Noten 2.HJ'!$AA$7:$AA$41,$A21))</f>
        <v/>
      </c>
      <c r="H21" s="22">
        <f>IF($B21="","",INDEX('Noten 2.HJ'!$AB$7:$AB$41,$A21))</f>
        <v/>
      </c>
      <c r="I21" s="19">
        <f>IF($B21="","",INDEX('Anw 1.HJ'!$D$6:$D$40,$A21))</f>
        <v/>
      </c>
      <c r="J21" s="19">
        <f>IF($B21="","",INDEX('Anw 1.HJ'!$E$6:$E$40,$A21))</f>
        <v/>
      </c>
      <c r="K21" s="19">
        <f>IF($B21="","",INDEX('Anw 2.HJ'!$D$6:$D$40,$A21))</f>
        <v/>
      </c>
      <c r="L21" s="19">
        <f>IF($B21="","",INDEX('Anw 2.HJ'!$E$6:$E$40,$A21))</f>
        <v/>
      </c>
    </row>
    <row r="22">
      <c r="A22" s="19" t="n">
        <v>17</v>
      </c>
      <c r="B22" s="20" t="inlineStr"/>
      <c r="C22" s="20" t="inlineStr"/>
      <c r="D22" s="21" t="inlineStr"/>
      <c r="E22" s="19">
        <f>IF($B22="","",INDEX('Noten 1.HJ'!$AA$7:$AA$41,$A22))</f>
        <v/>
      </c>
      <c r="F22" s="22">
        <f>IF($B22="","",INDEX('Noten 1.HJ'!$AB$7:$AB$41,$A22))</f>
        <v/>
      </c>
      <c r="G22" s="19">
        <f>IF($B22="","",INDEX('Noten 2.HJ'!$AA$7:$AA$41,$A22))</f>
        <v/>
      </c>
      <c r="H22" s="22">
        <f>IF($B22="","",INDEX('Noten 2.HJ'!$AB$7:$AB$41,$A22))</f>
        <v/>
      </c>
      <c r="I22" s="19">
        <f>IF($B22="","",INDEX('Anw 1.HJ'!$D$6:$D$40,$A22))</f>
        <v/>
      </c>
      <c r="J22" s="19">
        <f>IF($B22="","",INDEX('Anw 1.HJ'!$E$6:$E$40,$A22))</f>
        <v/>
      </c>
      <c r="K22" s="19">
        <f>IF($B22="","",INDEX('Anw 2.HJ'!$D$6:$D$40,$A22))</f>
        <v/>
      </c>
      <c r="L22" s="19">
        <f>IF($B22="","",INDEX('Anw 2.HJ'!$E$6:$E$40,$A22))</f>
        <v/>
      </c>
    </row>
    <row r="23">
      <c r="A23" s="19" t="n">
        <v>18</v>
      </c>
      <c r="B23" s="20" t="inlineStr"/>
      <c r="C23" s="20" t="inlineStr"/>
      <c r="D23" s="21" t="inlineStr"/>
      <c r="E23" s="19">
        <f>IF($B23="","",INDEX('Noten 1.HJ'!$AA$7:$AA$41,$A23))</f>
        <v/>
      </c>
      <c r="F23" s="22">
        <f>IF($B23="","",INDEX('Noten 1.HJ'!$AB$7:$AB$41,$A23))</f>
        <v/>
      </c>
      <c r="G23" s="19">
        <f>IF($B23="","",INDEX('Noten 2.HJ'!$AA$7:$AA$41,$A23))</f>
        <v/>
      </c>
      <c r="H23" s="22">
        <f>IF($B23="","",INDEX('Noten 2.HJ'!$AB$7:$AB$41,$A23))</f>
        <v/>
      </c>
      <c r="I23" s="19">
        <f>IF($B23="","",INDEX('Anw 1.HJ'!$D$6:$D$40,$A23))</f>
        <v/>
      </c>
      <c r="J23" s="19">
        <f>IF($B23="","",INDEX('Anw 1.HJ'!$E$6:$E$40,$A23))</f>
        <v/>
      </c>
      <c r="K23" s="19">
        <f>IF($B23="","",INDEX('Anw 2.HJ'!$D$6:$D$40,$A23))</f>
        <v/>
      </c>
      <c r="L23" s="19">
        <f>IF($B23="","",INDEX('Anw 2.HJ'!$E$6:$E$40,$A23))</f>
        <v/>
      </c>
    </row>
    <row r="24">
      <c r="A24" s="19" t="n">
        <v>19</v>
      </c>
      <c r="B24" s="20" t="inlineStr"/>
      <c r="C24" s="20" t="inlineStr"/>
      <c r="D24" s="21" t="inlineStr"/>
      <c r="E24" s="19">
        <f>IF($B24="","",INDEX('Noten 1.HJ'!$AA$7:$AA$41,$A24))</f>
        <v/>
      </c>
      <c r="F24" s="22">
        <f>IF($B24="","",INDEX('Noten 1.HJ'!$AB$7:$AB$41,$A24))</f>
        <v/>
      </c>
      <c r="G24" s="19">
        <f>IF($B24="","",INDEX('Noten 2.HJ'!$AA$7:$AA$41,$A24))</f>
        <v/>
      </c>
      <c r="H24" s="22">
        <f>IF($B24="","",INDEX('Noten 2.HJ'!$AB$7:$AB$41,$A24))</f>
        <v/>
      </c>
      <c r="I24" s="19">
        <f>IF($B24="","",INDEX('Anw 1.HJ'!$D$6:$D$40,$A24))</f>
        <v/>
      </c>
      <c r="J24" s="19">
        <f>IF($B24="","",INDEX('Anw 1.HJ'!$E$6:$E$40,$A24))</f>
        <v/>
      </c>
      <c r="K24" s="19">
        <f>IF($B24="","",INDEX('Anw 2.HJ'!$D$6:$D$40,$A24))</f>
        <v/>
      </c>
      <c r="L24" s="19">
        <f>IF($B24="","",INDEX('Anw 2.HJ'!$E$6:$E$40,$A24))</f>
        <v/>
      </c>
    </row>
    <row r="25">
      <c r="A25" s="19" t="n">
        <v>20</v>
      </c>
      <c r="B25" s="20" t="inlineStr"/>
      <c r="C25" s="20" t="inlineStr"/>
      <c r="D25" s="21" t="inlineStr"/>
      <c r="E25" s="19">
        <f>IF($B25="","",INDEX('Noten 1.HJ'!$AA$7:$AA$41,$A25))</f>
        <v/>
      </c>
      <c r="F25" s="22">
        <f>IF($B25="","",INDEX('Noten 1.HJ'!$AB$7:$AB$41,$A25))</f>
        <v/>
      </c>
      <c r="G25" s="19">
        <f>IF($B25="","",INDEX('Noten 2.HJ'!$AA$7:$AA$41,$A25))</f>
        <v/>
      </c>
      <c r="H25" s="22">
        <f>IF($B25="","",INDEX('Noten 2.HJ'!$AB$7:$AB$41,$A25))</f>
        <v/>
      </c>
      <c r="I25" s="19">
        <f>IF($B25="","",INDEX('Anw 1.HJ'!$D$6:$D$40,$A25))</f>
        <v/>
      </c>
      <c r="J25" s="19">
        <f>IF($B25="","",INDEX('Anw 1.HJ'!$E$6:$E$40,$A25))</f>
        <v/>
      </c>
      <c r="K25" s="19">
        <f>IF($B25="","",INDEX('Anw 2.HJ'!$D$6:$D$40,$A25))</f>
        <v/>
      </c>
      <c r="L25" s="19">
        <f>IF($B25="","",INDEX('Anw 2.HJ'!$E$6:$E$40,$A25))</f>
        <v/>
      </c>
    </row>
    <row r="26">
      <c r="A26" s="19" t="n">
        <v>21</v>
      </c>
      <c r="B26" s="20" t="inlineStr"/>
      <c r="C26" s="20" t="inlineStr"/>
      <c r="D26" s="21" t="inlineStr"/>
      <c r="E26" s="19">
        <f>IF($B26="","",INDEX('Noten 1.HJ'!$AA$7:$AA$41,$A26))</f>
        <v/>
      </c>
      <c r="F26" s="22">
        <f>IF($B26="","",INDEX('Noten 1.HJ'!$AB$7:$AB$41,$A26))</f>
        <v/>
      </c>
      <c r="G26" s="19">
        <f>IF($B26="","",INDEX('Noten 2.HJ'!$AA$7:$AA$41,$A26))</f>
        <v/>
      </c>
      <c r="H26" s="22">
        <f>IF($B26="","",INDEX('Noten 2.HJ'!$AB$7:$AB$41,$A26))</f>
        <v/>
      </c>
      <c r="I26" s="19">
        <f>IF($B26="","",INDEX('Anw 1.HJ'!$D$6:$D$40,$A26))</f>
        <v/>
      </c>
      <c r="J26" s="19">
        <f>IF($B26="","",INDEX('Anw 1.HJ'!$E$6:$E$40,$A26))</f>
        <v/>
      </c>
      <c r="K26" s="19">
        <f>IF($B26="","",INDEX('Anw 2.HJ'!$D$6:$D$40,$A26))</f>
        <v/>
      </c>
      <c r="L26" s="19">
        <f>IF($B26="","",INDEX('Anw 2.HJ'!$E$6:$E$40,$A26))</f>
        <v/>
      </c>
    </row>
    <row r="27">
      <c r="A27" s="19" t="n">
        <v>22</v>
      </c>
      <c r="B27" s="20" t="inlineStr"/>
      <c r="C27" s="20" t="inlineStr"/>
      <c r="D27" s="21" t="inlineStr"/>
      <c r="E27" s="19">
        <f>IF($B27="","",INDEX('Noten 1.HJ'!$AA$7:$AA$41,$A27))</f>
        <v/>
      </c>
      <c r="F27" s="22">
        <f>IF($B27="","",INDEX('Noten 1.HJ'!$AB$7:$AB$41,$A27))</f>
        <v/>
      </c>
      <c r="G27" s="19">
        <f>IF($B27="","",INDEX('Noten 2.HJ'!$AA$7:$AA$41,$A27))</f>
        <v/>
      </c>
      <c r="H27" s="22">
        <f>IF($B27="","",INDEX('Noten 2.HJ'!$AB$7:$AB$41,$A27))</f>
        <v/>
      </c>
      <c r="I27" s="19">
        <f>IF($B27="","",INDEX('Anw 1.HJ'!$D$6:$D$40,$A27))</f>
        <v/>
      </c>
      <c r="J27" s="19">
        <f>IF($B27="","",INDEX('Anw 1.HJ'!$E$6:$E$40,$A27))</f>
        <v/>
      </c>
      <c r="K27" s="19">
        <f>IF($B27="","",INDEX('Anw 2.HJ'!$D$6:$D$40,$A27))</f>
        <v/>
      </c>
      <c r="L27" s="19">
        <f>IF($B27="","",INDEX('Anw 2.HJ'!$E$6:$E$40,$A27))</f>
        <v/>
      </c>
    </row>
    <row r="28">
      <c r="A28" s="19" t="n">
        <v>23</v>
      </c>
      <c r="B28" s="20" t="inlineStr"/>
      <c r="C28" s="20" t="inlineStr"/>
      <c r="D28" s="21" t="inlineStr"/>
      <c r="E28" s="19">
        <f>IF($B28="","",INDEX('Noten 1.HJ'!$AA$7:$AA$41,$A28))</f>
        <v/>
      </c>
      <c r="F28" s="22">
        <f>IF($B28="","",INDEX('Noten 1.HJ'!$AB$7:$AB$41,$A28))</f>
        <v/>
      </c>
      <c r="G28" s="19">
        <f>IF($B28="","",INDEX('Noten 2.HJ'!$AA$7:$AA$41,$A28))</f>
        <v/>
      </c>
      <c r="H28" s="22">
        <f>IF($B28="","",INDEX('Noten 2.HJ'!$AB$7:$AB$41,$A28))</f>
        <v/>
      </c>
      <c r="I28" s="19">
        <f>IF($B28="","",INDEX('Anw 1.HJ'!$D$6:$D$40,$A28))</f>
        <v/>
      </c>
      <c r="J28" s="19">
        <f>IF($B28="","",INDEX('Anw 1.HJ'!$E$6:$E$40,$A28))</f>
        <v/>
      </c>
      <c r="K28" s="19">
        <f>IF($B28="","",INDEX('Anw 2.HJ'!$D$6:$D$40,$A28))</f>
        <v/>
      </c>
      <c r="L28" s="19">
        <f>IF($B28="","",INDEX('Anw 2.HJ'!$E$6:$E$40,$A28))</f>
        <v/>
      </c>
    </row>
    <row r="29">
      <c r="A29" s="19" t="n">
        <v>24</v>
      </c>
      <c r="B29" s="20" t="inlineStr"/>
      <c r="C29" s="20" t="inlineStr"/>
      <c r="D29" s="21" t="inlineStr"/>
      <c r="E29" s="19">
        <f>IF($B29="","",INDEX('Noten 1.HJ'!$AA$7:$AA$41,$A29))</f>
        <v/>
      </c>
      <c r="F29" s="22">
        <f>IF($B29="","",INDEX('Noten 1.HJ'!$AB$7:$AB$41,$A29))</f>
        <v/>
      </c>
      <c r="G29" s="19">
        <f>IF($B29="","",INDEX('Noten 2.HJ'!$AA$7:$AA$41,$A29))</f>
        <v/>
      </c>
      <c r="H29" s="22">
        <f>IF($B29="","",INDEX('Noten 2.HJ'!$AB$7:$AB$41,$A29))</f>
        <v/>
      </c>
      <c r="I29" s="19">
        <f>IF($B29="","",INDEX('Anw 1.HJ'!$D$6:$D$40,$A29))</f>
        <v/>
      </c>
      <c r="J29" s="19">
        <f>IF($B29="","",INDEX('Anw 1.HJ'!$E$6:$E$40,$A29))</f>
        <v/>
      </c>
      <c r="K29" s="19">
        <f>IF($B29="","",INDEX('Anw 2.HJ'!$D$6:$D$40,$A29))</f>
        <v/>
      </c>
      <c r="L29" s="19">
        <f>IF($B29="","",INDEX('Anw 2.HJ'!$E$6:$E$40,$A29))</f>
        <v/>
      </c>
    </row>
    <row r="30">
      <c r="A30" s="19" t="n">
        <v>25</v>
      </c>
      <c r="B30" s="20" t="inlineStr"/>
      <c r="C30" s="20" t="inlineStr"/>
      <c r="D30" s="21" t="inlineStr"/>
      <c r="E30" s="19">
        <f>IF($B30="","",INDEX('Noten 1.HJ'!$AA$7:$AA$41,$A30))</f>
        <v/>
      </c>
      <c r="F30" s="22">
        <f>IF($B30="","",INDEX('Noten 1.HJ'!$AB$7:$AB$41,$A30))</f>
        <v/>
      </c>
      <c r="G30" s="19">
        <f>IF($B30="","",INDEX('Noten 2.HJ'!$AA$7:$AA$41,$A30))</f>
        <v/>
      </c>
      <c r="H30" s="22">
        <f>IF($B30="","",INDEX('Noten 2.HJ'!$AB$7:$AB$41,$A30))</f>
        <v/>
      </c>
      <c r="I30" s="19">
        <f>IF($B30="","",INDEX('Anw 1.HJ'!$D$6:$D$40,$A30))</f>
        <v/>
      </c>
      <c r="J30" s="19">
        <f>IF($B30="","",INDEX('Anw 1.HJ'!$E$6:$E$40,$A30))</f>
        <v/>
      </c>
      <c r="K30" s="19">
        <f>IF($B30="","",INDEX('Anw 2.HJ'!$D$6:$D$40,$A30))</f>
        <v/>
      </c>
      <c r="L30" s="19">
        <f>IF($B30="","",INDEX('Anw 2.HJ'!$E$6:$E$40,$A30))</f>
        <v/>
      </c>
    </row>
    <row r="31">
      <c r="A31" s="19" t="n">
        <v>26</v>
      </c>
      <c r="B31" s="20" t="inlineStr"/>
      <c r="C31" s="20" t="inlineStr"/>
      <c r="D31" s="21" t="inlineStr"/>
      <c r="E31" s="19">
        <f>IF($B31="","",INDEX('Noten 1.HJ'!$AA$7:$AA$41,$A31))</f>
        <v/>
      </c>
      <c r="F31" s="22">
        <f>IF($B31="","",INDEX('Noten 1.HJ'!$AB$7:$AB$41,$A31))</f>
        <v/>
      </c>
      <c r="G31" s="19">
        <f>IF($B31="","",INDEX('Noten 2.HJ'!$AA$7:$AA$41,$A31))</f>
        <v/>
      </c>
      <c r="H31" s="22">
        <f>IF($B31="","",INDEX('Noten 2.HJ'!$AB$7:$AB$41,$A31))</f>
        <v/>
      </c>
      <c r="I31" s="19">
        <f>IF($B31="","",INDEX('Anw 1.HJ'!$D$6:$D$40,$A31))</f>
        <v/>
      </c>
      <c r="J31" s="19">
        <f>IF($B31="","",INDEX('Anw 1.HJ'!$E$6:$E$40,$A31))</f>
        <v/>
      </c>
      <c r="K31" s="19">
        <f>IF($B31="","",INDEX('Anw 2.HJ'!$D$6:$D$40,$A31))</f>
        <v/>
      </c>
      <c r="L31" s="19">
        <f>IF($B31="","",INDEX('Anw 2.HJ'!$E$6:$E$40,$A31))</f>
        <v/>
      </c>
    </row>
    <row r="32">
      <c r="A32" s="19" t="n">
        <v>27</v>
      </c>
      <c r="B32" s="20" t="inlineStr"/>
      <c r="C32" s="20" t="inlineStr"/>
      <c r="D32" s="21" t="inlineStr"/>
      <c r="E32" s="19">
        <f>IF($B32="","",INDEX('Noten 1.HJ'!$AA$7:$AA$41,$A32))</f>
        <v/>
      </c>
      <c r="F32" s="22">
        <f>IF($B32="","",INDEX('Noten 1.HJ'!$AB$7:$AB$41,$A32))</f>
        <v/>
      </c>
      <c r="G32" s="19">
        <f>IF($B32="","",INDEX('Noten 2.HJ'!$AA$7:$AA$41,$A32))</f>
        <v/>
      </c>
      <c r="H32" s="22">
        <f>IF($B32="","",INDEX('Noten 2.HJ'!$AB$7:$AB$41,$A32))</f>
        <v/>
      </c>
      <c r="I32" s="19">
        <f>IF($B32="","",INDEX('Anw 1.HJ'!$D$6:$D$40,$A32))</f>
        <v/>
      </c>
      <c r="J32" s="19">
        <f>IF($B32="","",INDEX('Anw 1.HJ'!$E$6:$E$40,$A32))</f>
        <v/>
      </c>
      <c r="K32" s="19">
        <f>IF($B32="","",INDEX('Anw 2.HJ'!$D$6:$D$40,$A32))</f>
        <v/>
      </c>
      <c r="L32" s="19">
        <f>IF($B32="","",INDEX('Anw 2.HJ'!$E$6:$E$40,$A32))</f>
        <v/>
      </c>
    </row>
    <row r="33">
      <c r="A33" s="19" t="n">
        <v>28</v>
      </c>
      <c r="B33" s="20" t="inlineStr"/>
      <c r="C33" s="20" t="inlineStr"/>
      <c r="D33" s="21" t="inlineStr"/>
      <c r="E33" s="19">
        <f>IF($B33="","",INDEX('Noten 1.HJ'!$AA$7:$AA$41,$A33))</f>
        <v/>
      </c>
      <c r="F33" s="22">
        <f>IF($B33="","",INDEX('Noten 1.HJ'!$AB$7:$AB$41,$A33))</f>
        <v/>
      </c>
      <c r="G33" s="19">
        <f>IF($B33="","",INDEX('Noten 2.HJ'!$AA$7:$AA$41,$A33))</f>
        <v/>
      </c>
      <c r="H33" s="22">
        <f>IF($B33="","",INDEX('Noten 2.HJ'!$AB$7:$AB$41,$A33))</f>
        <v/>
      </c>
      <c r="I33" s="19">
        <f>IF($B33="","",INDEX('Anw 1.HJ'!$D$6:$D$40,$A33))</f>
        <v/>
      </c>
      <c r="J33" s="19">
        <f>IF($B33="","",INDEX('Anw 1.HJ'!$E$6:$E$40,$A33))</f>
        <v/>
      </c>
      <c r="K33" s="19">
        <f>IF($B33="","",INDEX('Anw 2.HJ'!$D$6:$D$40,$A33))</f>
        <v/>
      </c>
      <c r="L33" s="19">
        <f>IF($B33="","",INDEX('Anw 2.HJ'!$E$6:$E$40,$A33))</f>
        <v/>
      </c>
    </row>
    <row r="34">
      <c r="A34" s="19" t="n">
        <v>29</v>
      </c>
      <c r="B34" s="20" t="inlineStr"/>
      <c r="C34" s="20" t="inlineStr"/>
      <c r="D34" s="21" t="inlineStr"/>
      <c r="E34" s="19">
        <f>IF($B34="","",INDEX('Noten 1.HJ'!$AA$7:$AA$41,$A34))</f>
        <v/>
      </c>
      <c r="F34" s="22">
        <f>IF($B34="","",INDEX('Noten 1.HJ'!$AB$7:$AB$41,$A34))</f>
        <v/>
      </c>
      <c r="G34" s="19">
        <f>IF($B34="","",INDEX('Noten 2.HJ'!$AA$7:$AA$41,$A34))</f>
        <v/>
      </c>
      <c r="H34" s="22">
        <f>IF($B34="","",INDEX('Noten 2.HJ'!$AB$7:$AB$41,$A34))</f>
        <v/>
      </c>
      <c r="I34" s="19">
        <f>IF($B34="","",INDEX('Anw 1.HJ'!$D$6:$D$40,$A34))</f>
        <v/>
      </c>
      <c r="J34" s="19">
        <f>IF($B34="","",INDEX('Anw 1.HJ'!$E$6:$E$40,$A34))</f>
        <v/>
      </c>
      <c r="K34" s="19">
        <f>IF($B34="","",INDEX('Anw 2.HJ'!$D$6:$D$40,$A34))</f>
        <v/>
      </c>
      <c r="L34" s="19">
        <f>IF($B34="","",INDEX('Anw 2.HJ'!$E$6:$E$40,$A34))</f>
        <v/>
      </c>
    </row>
    <row r="35">
      <c r="A35" s="19" t="n">
        <v>30</v>
      </c>
      <c r="B35" s="20" t="inlineStr"/>
      <c r="C35" s="20" t="inlineStr"/>
      <c r="D35" s="21" t="inlineStr"/>
      <c r="E35" s="19">
        <f>IF($B35="","",INDEX('Noten 1.HJ'!$AA$7:$AA$41,$A35))</f>
        <v/>
      </c>
      <c r="F35" s="22">
        <f>IF($B35="","",INDEX('Noten 1.HJ'!$AB$7:$AB$41,$A35))</f>
        <v/>
      </c>
      <c r="G35" s="19">
        <f>IF($B35="","",INDEX('Noten 2.HJ'!$AA$7:$AA$41,$A35))</f>
        <v/>
      </c>
      <c r="H35" s="22">
        <f>IF($B35="","",INDEX('Noten 2.HJ'!$AB$7:$AB$41,$A35))</f>
        <v/>
      </c>
      <c r="I35" s="19">
        <f>IF($B35="","",INDEX('Anw 1.HJ'!$D$6:$D$40,$A35))</f>
        <v/>
      </c>
      <c r="J35" s="19">
        <f>IF($B35="","",INDEX('Anw 1.HJ'!$E$6:$E$40,$A35))</f>
        <v/>
      </c>
      <c r="K35" s="19">
        <f>IF($B35="","",INDEX('Anw 2.HJ'!$D$6:$D$40,$A35))</f>
        <v/>
      </c>
      <c r="L35" s="19">
        <f>IF($B35="","",INDEX('Anw 2.HJ'!$E$6:$E$40,$A35))</f>
        <v/>
      </c>
    </row>
    <row r="36">
      <c r="A36" s="19" t="n">
        <v>31</v>
      </c>
      <c r="B36" s="20" t="inlineStr"/>
      <c r="C36" s="20" t="inlineStr"/>
      <c r="D36" s="21" t="inlineStr"/>
      <c r="E36" s="19">
        <f>IF($B36="","",INDEX('Noten 1.HJ'!$AA$7:$AA$41,$A36))</f>
        <v/>
      </c>
      <c r="F36" s="22">
        <f>IF($B36="","",INDEX('Noten 1.HJ'!$AB$7:$AB$41,$A36))</f>
        <v/>
      </c>
      <c r="G36" s="19">
        <f>IF($B36="","",INDEX('Noten 2.HJ'!$AA$7:$AA$41,$A36))</f>
        <v/>
      </c>
      <c r="H36" s="22">
        <f>IF($B36="","",INDEX('Noten 2.HJ'!$AB$7:$AB$41,$A36))</f>
        <v/>
      </c>
      <c r="I36" s="19">
        <f>IF($B36="","",INDEX('Anw 1.HJ'!$D$6:$D$40,$A36))</f>
        <v/>
      </c>
      <c r="J36" s="19">
        <f>IF($B36="","",INDEX('Anw 1.HJ'!$E$6:$E$40,$A36))</f>
        <v/>
      </c>
      <c r="K36" s="19">
        <f>IF($B36="","",INDEX('Anw 2.HJ'!$D$6:$D$40,$A36))</f>
        <v/>
      </c>
      <c r="L36" s="19">
        <f>IF($B36="","",INDEX('Anw 2.HJ'!$E$6:$E$40,$A36))</f>
        <v/>
      </c>
    </row>
    <row r="37">
      <c r="A37" s="19" t="n">
        <v>32</v>
      </c>
      <c r="B37" s="20" t="inlineStr"/>
      <c r="C37" s="20" t="inlineStr"/>
      <c r="D37" s="21" t="inlineStr"/>
      <c r="E37" s="19">
        <f>IF($B37="","",INDEX('Noten 1.HJ'!$AA$7:$AA$41,$A37))</f>
        <v/>
      </c>
      <c r="F37" s="22">
        <f>IF($B37="","",INDEX('Noten 1.HJ'!$AB$7:$AB$41,$A37))</f>
        <v/>
      </c>
      <c r="G37" s="19">
        <f>IF($B37="","",INDEX('Noten 2.HJ'!$AA$7:$AA$41,$A37))</f>
        <v/>
      </c>
      <c r="H37" s="22">
        <f>IF($B37="","",INDEX('Noten 2.HJ'!$AB$7:$AB$41,$A37))</f>
        <v/>
      </c>
      <c r="I37" s="19">
        <f>IF($B37="","",INDEX('Anw 1.HJ'!$D$6:$D$40,$A37))</f>
        <v/>
      </c>
      <c r="J37" s="19">
        <f>IF($B37="","",INDEX('Anw 1.HJ'!$E$6:$E$40,$A37))</f>
        <v/>
      </c>
      <c r="K37" s="19">
        <f>IF($B37="","",INDEX('Anw 2.HJ'!$D$6:$D$40,$A37))</f>
        <v/>
      </c>
      <c r="L37" s="19">
        <f>IF($B37="","",INDEX('Anw 2.HJ'!$E$6:$E$40,$A37))</f>
        <v/>
      </c>
    </row>
    <row r="38">
      <c r="A38" s="19" t="n">
        <v>33</v>
      </c>
      <c r="B38" s="20" t="inlineStr"/>
      <c r="C38" s="20" t="inlineStr"/>
      <c r="D38" s="21" t="inlineStr"/>
      <c r="E38" s="19">
        <f>IF($B38="","",INDEX('Noten 1.HJ'!$AA$7:$AA$41,$A38))</f>
        <v/>
      </c>
      <c r="F38" s="22">
        <f>IF($B38="","",INDEX('Noten 1.HJ'!$AB$7:$AB$41,$A38))</f>
        <v/>
      </c>
      <c r="G38" s="19">
        <f>IF($B38="","",INDEX('Noten 2.HJ'!$AA$7:$AA$41,$A38))</f>
        <v/>
      </c>
      <c r="H38" s="22">
        <f>IF($B38="","",INDEX('Noten 2.HJ'!$AB$7:$AB$41,$A38))</f>
        <v/>
      </c>
      <c r="I38" s="19">
        <f>IF($B38="","",INDEX('Anw 1.HJ'!$D$6:$D$40,$A38))</f>
        <v/>
      </c>
      <c r="J38" s="19">
        <f>IF($B38="","",INDEX('Anw 1.HJ'!$E$6:$E$40,$A38))</f>
        <v/>
      </c>
      <c r="K38" s="19">
        <f>IF($B38="","",INDEX('Anw 2.HJ'!$D$6:$D$40,$A38))</f>
        <v/>
      </c>
      <c r="L38" s="19">
        <f>IF($B38="","",INDEX('Anw 2.HJ'!$E$6:$E$40,$A38))</f>
        <v/>
      </c>
    </row>
    <row r="39">
      <c r="A39" s="19" t="n">
        <v>34</v>
      </c>
      <c r="B39" s="20" t="inlineStr"/>
      <c r="C39" s="20" t="inlineStr"/>
      <c r="D39" s="21" t="inlineStr"/>
      <c r="E39" s="19">
        <f>IF($B39="","",INDEX('Noten 1.HJ'!$AA$7:$AA$41,$A39))</f>
        <v/>
      </c>
      <c r="F39" s="22">
        <f>IF($B39="","",INDEX('Noten 1.HJ'!$AB$7:$AB$41,$A39))</f>
        <v/>
      </c>
      <c r="G39" s="19">
        <f>IF($B39="","",INDEX('Noten 2.HJ'!$AA$7:$AA$41,$A39))</f>
        <v/>
      </c>
      <c r="H39" s="22">
        <f>IF($B39="","",INDEX('Noten 2.HJ'!$AB$7:$AB$41,$A39))</f>
        <v/>
      </c>
      <c r="I39" s="19">
        <f>IF($B39="","",INDEX('Anw 1.HJ'!$D$6:$D$40,$A39))</f>
        <v/>
      </c>
      <c r="J39" s="19">
        <f>IF($B39="","",INDEX('Anw 1.HJ'!$E$6:$E$40,$A39))</f>
        <v/>
      </c>
      <c r="K39" s="19">
        <f>IF($B39="","",INDEX('Anw 2.HJ'!$D$6:$D$40,$A39))</f>
        <v/>
      </c>
      <c r="L39" s="19">
        <f>IF($B39="","",INDEX('Anw 2.HJ'!$E$6:$E$40,$A39))</f>
        <v/>
      </c>
    </row>
    <row r="40">
      <c r="A40" s="19" t="n">
        <v>35</v>
      </c>
      <c r="B40" s="20" t="inlineStr"/>
      <c r="C40" s="20" t="inlineStr"/>
      <c r="D40" s="21" t="inlineStr"/>
      <c r="E40" s="19">
        <f>IF($B40="","",INDEX('Noten 1.HJ'!$AA$7:$AA$41,$A40))</f>
        <v/>
      </c>
      <c r="F40" s="22">
        <f>IF($B40="","",INDEX('Noten 1.HJ'!$AB$7:$AB$41,$A40))</f>
        <v/>
      </c>
      <c r="G40" s="19">
        <f>IF($B40="","",INDEX('Noten 2.HJ'!$AA$7:$AA$41,$A40))</f>
        <v/>
      </c>
      <c r="H40" s="22">
        <f>IF($B40="","",INDEX('Noten 2.HJ'!$AB$7:$AB$41,$A40))</f>
        <v/>
      </c>
      <c r="I40" s="19">
        <f>IF($B40="","",INDEX('Anw 1.HJ'!$D$6:$D$40,$A40))</f>
        <v/>
      </c>
      <c r="J40" s="19">
        <f>IF($B40="","",INDEX('Anw 1.HJ'!$E$6:$E$40,$A40))</f>
        <v/>
      </c>
      <c r="K40" s="19">
        <f>IF($B40="","",INDEX('Anw 2.HJ'!$D$6:$D$40,$A40))</f>
        <v/>
      </c>
      <c r="L40" s="19">
        <f>IF($B40="","",INDEX('Anw 2.HJ'!$E$6:$E$40,$A40))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6">
    <mergeCell ref="G4:H4"/>
    <mergeCell ref="E4:F4"/>
    <mergeCell ref="F2:G2"/>
    <mergeCell ref="B4:D4"/>
    <mergeCell ref="I4:L4"/>
    <mergeCell ref="A1:K1"/>
  </mergeCells>
  <conditionalFormatting sqref="B4">
    <cfRule type="expression" priority="1" dxfId="0">
      <formula>$AA$4&gt;0</formula>
    </cfRule>
  </conditionalFormatting>
  <conditionalFormatting sqref="D6:L40">
    <cfRule type="expression" priority="2" dxfId="1" stopIfTrue="1">
      <formula>$B6=""</formula>
    </cfRule>
  </conditionalFormatting>
  <conditionalFormatting sqref="E6:E40">
    <cfRule type="expression" priority="3" dxfId="2">
      <formula>AND(ISNUMBER(E6),E6&lt;5)</formula>
    </cfRule>
  </conditionalFormatting>
  <conditionalFormatting sqref="G6:G40">
    <cfRule type="expression" priority="4" dxfId="2">
      <formula>AND(ISNUMBER(G6),G6&lt;5)</formula>
    </cfRule>
  </conditionalFormatting>
  <printOptions horizontalCentered="1"/>
  <pageMargins left="0.5" right="0.5" top="0.55" bottom="0.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tabColor rgb="0035596E"/>
    <outlinePr summaryBelow="1" summaryRight="1"/>
    <pageSetUpPr fitToPage="1"/>
  </sheetPr>
  <dimension ref="A1:AA39"/>
  <sheetViews>
    <sheetView showGridLines="0" zoomScale="100" workbookViewId="0">
      <selection activeCell="A1" sqref="A1"/>
    </sheetView>
  </sheetViews>
  <sheetFormatPr baseColWidth="8" defaultRowHeight="17"/>
  <cols>
    <col width="2" customWidth="1" min="1" max="1"/>
    <col width="8.300000000000001" customWidth="1" min="2" max="2"/>
    <col width="8.300000000000001" customWidth="1" min="3" max="3"/>
    <col width="8.300000000000001" customWidth="1" min="4" max="4"/>
    <col width="8.300000000000001" customWidth="1" min="5" max="5"/>
    <col width="8.300000000000001" customWidth="1" min="6" max="6"/>
    <col width="8.300000000000001" customWidth="1" min="7" max="7"/>
    <col width="8.300000000000001" customWidth="1" min="8" max="8"/>
    <col width="8.300000000000001" customWidth="1" min="9" max="9"/>
    <col width="8.300000000000001" customWidth="1" min="10" max="10"/>
    <col width="8.300000000000001" customWidth="1" min="11" max="11"/>
    <col width="8.300000000000001" customWidth="1" min="12" max="12"/>
    <col width="8.300000000000001" customWidth="1" min="13" max="13"/>
    <col hidden="1" width="18" customWidth="1" min="27" max="27"/>
  </cols>
  <sheetData>
    <row r="1" ht="26" customHeight="1">
      <c r="A1" s="1" t="inlineStr">
        <is>
          <t>Sitzplan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8">
        <f>HYPERLINK("#Start!A1","⌂")</f>
        <v/>
      </c>
    </row>
    <row r="2">
      <c r="B2" s="9" t="inlineStr">
        <is>
          <t>Klasse:</t>
        </is>
      </c>
      <c r="C2" s="23">
        <f>Klassenliste!$E$2&amp;""</f>
        <v/>
      </c>
      <c r="D2" s="9" t="inlineStr">
        <is>
          <t>Raum:</t>
        </is>
      </c>
      <c r="E2" s="10" t="inlineStr"/>
      <c r="F2" s="9" t="inlineStr">
        <is>
          <t>gültig ab:</t>
        </is>
      </c>
      <c r="H2" s="24" t="inlineStr"/>
      <c r="J2" s="9" t="inlineStr">
        <is>
          <t>Lehrkraft:</t>
        </is>
      </c>
      <c r="L2" s="23">
        <f>Klassenliste!$H$2&amp;""</f>
        <v/>
      </c>
    </row>
    <row r="3">
      <c r="B3" s="12" t="inlineStr">
        <is>
          <t>Quadrat anklicken → Schüler wählen · leere Quadrate = Lücken/Gänge · Tafel/Pult unten (vorne)</t>
        </is>
      </c>
    </row>
    <row r="4" ht="43.5" customHeight="1">
      <c r="B4" s="25" t="inlineStr"/>
      <c r="C4" s="25" t="inlineStr"/>
      <c r="D4" s="25" t="inlineStr"/>
      <c r="E4" s="25" t="inlineStr"/>
      <c r="F4" s="25" t="inlineStr"/>
      <c r="G4" s="25" t="inlineStr"/>
      <c r="H4" s="25" t="inlineStr"/>
      <c r="I4" s="25" t="inlineStr"/>
      <c r="J4" s="25" t="inlineStr"/>
      <c r="K4" s="25" t="inlineStr"/>
      <c r="L4" s="25" t="inlineStr"/>
      <c r="M4" s="25" t="inlineStr"/>
      <c r="AA4" s="17" t="inlineStr">
        <is>
          <t>(Rechen-Hilfsspalte für Dropdown + Liste)</t>
        </is>
      </c>
    </row>
    <row r="5" ht="43.5" customHeight="1">
      <c r="B5" s="25" t="inlineStr"/>
      <c r="C5" s="25" t="inlineStr"/>
      <c r="D5" s="25" t="inlineStr"/>
      <c r="E5" s="25" t="inlineStr"/>
      <c r="F5" s="25" t="inlineStr"/>
      <c r="G5" s="25" t="inlineStr"/>
      <c r="H5" s="25" t="inlineStr"/>
      <c r="I5" s="25" t="inlineStr"/>
      <c r="J5" s="25" t="inlineStr"/>
      <c r="K5" s="25" t="inlineStr"/>
      <c r="L5" s="25" t="inlineStr"/>
      <c r="M5" s="25" t="inlineStr"/>
      <c r="AA5" s="26">
        <f>IF(INDEX(Klassenliste!$B$6:$B$40,1)=0,"",1&amp;" "&amp;INDEX(Klassenliste!$C$6:$C$40,1)&amp;" "&amp;LEFT(INDEX(Klassenliste!$B$6:$B$40,1),1)&amp;".")</f>
        <v/>
      </c>
    </row>
    <row r="6" ht="43.5" customHeight="1">
      <c r="B6" s="25" t="inlineStr"/>
      <c r="C6" s="25" t="inlineStr"/>
      <c r="D6" s="25" t="inlineStr"/>
      <c r="E6" s="25" t="inlineStr"/>
      <c r="F6" s="25" t="inlineStr"/>
      <c r="G6" s="25" t="inlineStr"/>
      <c r="H6" s="25" t="inlineStr"/>
      <c r="I6" s="25" t="inlineStr"/>
      <c r="J6" s="25" t="inlineStr"/>
      <c r="K6" s="25" t="inlineStr"/>
      <c r="L6" s="25" t="inlineStr"/>
      <c r="M6" s="25" t="inlineStr"/>
      <c r="AA6" s="26">
        <f>IF(INDEX(Klassenliste!$B$6:$B$40,2)=0,"",2&amp;" "&amp;INDEX(Klassenliste!$C$6:$C$40,2)&amp;" "&amp;LEFT(INDEX(Klassenliste!$B$6:$B$40,2),1)&amp;".")</f>
        <v/>
      </c>
    </row>
    <row r="7" ht="43.5" customHeight="1">
      <c r="B7" s="25" t="inlineStr"/>
      <c r="C7" s="25" t="inlineStr"/>
      <c r="D7" s="25" t="inlineStr"/>
      <c r="E7" s="25" t="inlineStr"/>
      <c r="F7" s="25" t="inlineStr"/>
      <c r="G7" s="25" t="inlineStr"/>
      <c r="H7" s="25" t="inlineStr"/>
      <c r="I7" s="25" t="inlineStr"/>
      <c r="J7" s="25" t="inlineStr"/>
      <c r="K7" s="25" t="inlineStr"/>
      <c r="L7" s="25" t="inlineStr"/>
      <c r="M7" s="25" t="inlineStr"/>
      <c r="AA7" s="26">
        <f>IF(INDEX(Klassenliste!$B$6:$B$40,3)=0,"",3&amp;" "&amp;INDEX(Klassenliste!$C$6:$C$40,3)&amp;" "&amp;LEFT(INDEX(Klassenliste!$B$6:$B$40,3),1)&amp;".")</f>
        <v/>
      </c>
    </row>
    <row r="8" ht="43.5" customHeight="1">
      <c r="B8" s="25" t="inlineStr"/>
      <c r="C8" s="25" t="inlineStr"/>
      <c r="D8" s="25" t="inlineStr"/>
      <c r="E8" s="25" t="inlineStr"/>
      <c r="F8" s="25" t="inlineStr"/>
      <c r="G8" s="25" t="inlineStr"/>
      <c r="H8" s="25" t="inlineStr"/>
      <c r="I8" s="25" t="inlineStr"/>
      <c r="J8" s="25" t="inlineStr"/>
      <c r="K8" s="25" t="inlineStr"/>
      <c r="L8" s="25" t="inlineStr"/>
      <c r="M8" s="25" t="inlineStr"/>
      <c r="AA8" s="26">
        <f>IF(INDEX(Klassenliste!$B$6:$B$40,4)=0,"",4&amp;" "&amp;INDEX(Klassenliste!$C$6:$C$40,4)&amp;" "&amp;LEFT(INDEX(Klassenliste!$B$6:$B$40,4),1)&amp;".")</f>
        <v/>
      </c>
    </row>
    <row r="9" ht="43.5" customHeight="1">
      <c r="B9" s="25" t="inlineStr"/>
      <c r="C9" s="25" t="inlineStr"/>
      <c r="D9" s="25" t="inlineStr"/>
      <c r="E9" s="25" t="inlineStr"/>
      <c r="F9" s="25" t="inlineStr"/>
      <c r="G9" s="25" t="inlineStr"/>
      <c r="H9" s="25" t="inlineStr"/>
      <c r="I9" s="25" t="inlineStr"/>
      <c r="J9" s="25" t="inlineStr"/>
      <c r="K9" s="25" t="inlineStr"/>
      <c r="L9" s="25" t="inlineStr"/>
      <c r="M9" s="25" t="inlineStr"/>
      <c r="AA9" s="26">
        <f>IF(INDEX(Klassenliste!$B$6:$B$40,5)=0,"",5&amp;" "&amp;INDEX(Klassenliste!$C$6:$C$40,5)&amp;" "&amp;LEFT(INDEX(Klassenliste!$B$6:$B$40,5),1)&amp;".")</f>
        <v/>
      </c>
    </row>
    <row r="10" ht="43.5" customHeight="1">
      <c r="B10" s="25" t="inlineStr"/>
      <c r="C10" s="25" t="inlineStr"/>
      <c r="D10" s="25" t="inlineStr"/>
      <c r="E10" s="25" t="inlineStr"/>
      <c r="F10" s="25" t="inlineStr"/>
      <c r="G10" s="25" t="inlineStr"/>
      <c r="H10" s="25" t="inlineStr"/>
      <c r="I10" s="25" t="inlineStr"/>
      <c r="J10" s="25" t="inlineStr"/>
      <c r="K10" s="25" t="inlineStr"/>
      <c r="L10" s="25" t="inlineStr"/>
      <c r="M10" s="25" t="inlineStr"/>
      <c r="AA10" s="26">
        <f>IF(INDEX(Klassenliste!$B$6:$B$40,6)=0,"",6&amp;" "&amp;INDEX(Klassenliste!$C$6:$C$40,6)&amp;" "&amp;LEFT(INDEX(Klassenliste!$B$6:$B$40,6),1)&amp;".")</f>
        <v/>
      </c>
    </row>
    <row r="11" ht="43.5" customHeight="1">
      <c r="B11" s="25" t="inlineStr"/>
      <c r="C11" s="25" t="inlineStr"/>
      <c r="D11" s="25" t="inlineStr"/>
      <c r="E11" s="25" t="inlineStr"/>
      <c r="F11" s="25" t="inlineStr"/>
      <c r="G11" s="25" t="inlineStr"/>
      <c r="H11" s="25" t="inlineStr"/>
      <c r="I11" s="25" t="inlineStr"/>
      <c r="J11" s="25" t="inlineStr"/>
      <c r="K11" s="25" t="inlineStr"/>
      <c r="L11" s="25" t="inlineStr"/>
      <c r="M11" s="25" t="inlineStr"/>
      <c r="AA11" s="26">
        <f>IF(INDEX(Klassenliste!$B$6:$B$40,7)=0,"",7&amp;" "&amp;INDEX(Klassenliste!$C$6:$C$40,7)&amp;" "&amp;LEFT(INDEX(Klassenliste!$B$6:$B$40,7),1)&amp;".")</f>
        <v/>
      </c>
    </row>
    <row r="12" ht="43.5" customHeight="1">
      <c r="B12" s="25" t="inlineStr"/>
      <c r="C12" s="25" t="inlineStr"/>
      <c r="D12" s="25" t="inlineStr"/>
      <c r="E12" s="25" t="inlineStr"/>
      <c r="F12" s="25" t="inlineStr"/>
      <c r="G12" s="25" t="inlineStr"/>
      <c r="H12" s="25" t="inlineStr"/>
      <c r="I12" s="25" t="inlineStr"/>
      <c r="J12" s="25" t="inlineStr"/>
      <c r="K12" s="25" t="inlineStr"/>
      <c r="L12" s="25" t="inlineStr"/>
      <c r="M12" s="25" t="inlineStr"/>
      <c r="AA12" s="26">
        <f>IF(INDEX(Klassenliste!$B$6:$B$40,8)=0,"",8&amp;" "&amp;INDEX(Klassenliste!$C$6:$C$40,8)&amp;" "&amp;LEFT(INDEX(Klassenliste!$B$6:$B$40,8),1)&amp;".")</f>
        <v/>
      </c>
    </row>
    <row r="13" ht="43.5" customHeight="1">
      <c r="B13" s="25" t="inlineStr"/>
      <c r="C13" s="25" t="inlineStr"/>
      <c r="D13" s="25" t="inlineStr"/>
      <c r="E13" s="25" t="inlineStr"/>
      <c r="F13" s="25" t="inlineStr"/>
      <c r="G13" s="25" t="inlineStr"/>
      <c r="H13" s="25" t="inlineStr"/>
      <c r="I13" s="25" t="inlineStr"/>
      <c r="J13" s="25" t="inlineStr"/>
      <c r="K13" s="25" t="inlineStr"/>
      <c r="L13" s="25" t="inlineStr"/>
      <c r="M13" s="25" t="inlineStr"/>
      <c r="AA13" s="26">
        <f>IF(INDEX(Klassenliste!$B$6:$B$40,9)=0,"",9&amp;" "&amp;INDEX(Klassenliste!$C$6:$C$40,9)&amp;" "&amp;LEFT(INDEX(Klassenliste!$B$6:$B$40,9),1)&amp;".")</f>
        <v/>
      </c>
    </row>
    <row r="14" ht="43.5" customHeight="1">
      <c r="B14" s="25" t="inlineStr"/>
      <c r="C14" s="25" t="inlineStr"/>
      <c r="D14" s="25" t="inlineStr"/>
      <c r="E14" s="25" t="inlineStr"/>
      <c r="F14" s="25" t="inlineStr"/>
      <c r="G14" s="25" t="inlineStr"/>
      <c r="H14" s="25" t="inlineStr"/>
      <c r="I14" s="25" t="inlineStr"/>
      <c r="J14" s="25" t="inlineStr"/>
      <c r="K14" s="25" t="inlineStr"/>
      <c r="L14" s="25" t="inlineStr"/>
      <c r="M14" s="25" t="inlineStr"/>
      <c r="AA14" s="26">
        <f>IF(INDEX(Klassenliste!$B$6:$B$40,10)=0,"",10&amp;" "&amp;INDEX(Klassenliste!$C$6:$C$40,10)&amp;" "&amp;LEFT(INDEX(Klassenliste!$B$6:$B$40,10),1)&amp;".")</f>
        <v/>
      </c>
    </row>
    <row r="15" ht="10" customHeight="1">
      <c r="AA15" s="26">
        <f>IF(INDEX(Klassenliste!$B$6:$B$40,11)=0,"",11&amp;" "&amp;INDEX(Klassenliste!$C$6:$C$40,11)&amp;" "&amp;LEFT(INDEX(Klassenliste!$B$6:$B$40,11),1)&amp;".")</f>
        <v/>
      </c>
    </row>
    <row r="16" ht="20" customHeight="1">
      <c r="G16" s="27" t="inlineStr">
        <is>
          <t>P U L T</t>
        </is>
      </c>
      <c r="H16" s="28" t="n"/>
      <c r="AA16" s="26">
        <f>IF(INDEX(Klassenliste!$B$6:$B$40,12)=0,"",12&amp;" "&amp;INDEX(Klassenliste!$C$6:$C$40,12)&amp;" "&amp;LEFT(INDEX(Klassenliste!$B$6:$B$40,12),1)&amp;".")</f>
        <v/>
      </c>
    </row>
    <row r="17" ht="22" customHeight="1">
      <c r="F17" s="29" t="inlineStr">
        <is>
          <t>T A F E L</t>
        </is>
      </c>
      <c r="G17" s="30" t="n"/>
      <c r="H17" s="30" t="n"/>
      <c r="I17" s="30" t="n"/>
      <c r="AA17" s="26">
        <f>IF(INDEX(Klassenliste!$B$6:$B$40,13)=0,"",13&amp;" "&amp;INDEX(Klassenliste!$C$6:$C$40,13)&amp;" "&amp;LEFT(INDEX(Klassenliste!$B$6:$B$40,13),1)&amp;".")</f>
        <v/>
      </c>
    </row>
    <row r="18">
      <c r="AA18" s="26">
        <f>IF(INDEX(Klassenliste!$B$6:$B$40,14)=0,"",14&amp;" "&amp;INDEX(Klassenliste!$C$6:$C$40,14)&amp;" "&amp;LEFT(INDEX(Klassenliste!$B$6:$B$40,14),1)&amp;".")</f>
        <v/>
      </c>
    </row>
    <row r="19" ht="18" customHeight="1">
      <c r="B19" s="12" t="inlineStr">
        <is>
          <t>Schülerliste (zum Auslosen):</t>
        </is>
      </c>
      <c r="AA19" s="26">
        <f>IF(INDEX(Klassenliste!$B$6:$B$40,15)=0,"",15&amp;" "&amp;INDEX(Klassenliste!$C$6:$C$40,15)&amp;" "&amp;LEFT(INDEX(Klassenliste!$B$6:$B$40,15),1)&amp;".")</f>
        <v/>
      </c>
    </row>
    <row r="20" ht="22" customHeight="1">
      <c r="B20" s="31">
        <f>IF(AA5="","",AA5)</f>
        <v/>
      </c>
      <c r="D20" s="31">
        <f>IF(AA6="","",AA6)</f>
        <v/>
      </c>
      <c r="F20" s="31">
        <f>IF(AA7="","",AA7)</f>
        <v/>
      </c>
      <c r="H20" s="31">
        <f>IF(AA8="","",AA8)</f>
        <v/>
      </c>
      <c r="J20" s="31">
        <f>IF(AA9="","",AA9)</f>
        <v/>
      </c>
      <c r="L20" s="31">
        <f>IF(AA10="","",AA10)</f>
        <v/>
      </c>
      <c r="AA20" s="26">
        <f>IF(INDEX(Klassenliste!$B$6:$B$40,16)=0,"",16&amp;" "&amp;INDEX(Klassenliste!$C$6:$C$40,16)&amp;" "&amp;LEFT(INDEX(Klassenliste!$B$6:$B$40,16),1)&amp;".")</f>
        <v/>
      </c>
    </row>
    <row r="21" ht="22" customHeight="1">
      <c r="B21" s="31">
        <f>IF(AA11="","",AA11)</f>
        <v/>
      </c>
      <c r="D21" s="31">
        <f>IF(AA12="","",AA12)</f>
        <v/>
      </c>
      <c r="F21" s="31">
        <f>IF(AA13="","",AA13)</f>
        <v/>
      </c>
      <c r="H21" s="31">
        <f>IF(AA14="","",AA14)</f>
        <v/>
      </c>
      <c r="J21" s="31">
        <f>IF(AA15="","",AA15)</f>
        <v/>
      </c>
      <c r="L21" s="31">
        <f>IF(AA16="","",AA16)</f>
        <v/>
      </c>
      <c r="AA21" s="26">
        <f>IF(INDEX(Klassenliste!$B$6:$B$40,17)=0,"",17&amp;" "&amp;INDEX(Klassenliste!$C$6:$C$40,17)&amp;" "&amp;LEFT(INDEX(Klassenliste!$B$6:$B$40,17),1)&amp;".")</f>
        <v/>
      </c>
    </row>
    <row r="22" ht="22" customHeight="1">
      <c r="B22" s="31">
        <f>IF(AA17="","",AA17)</f>
        <v/>
      </c>
      <c r="D22" s="31">
        <f>IF(AA18="","",AA18)</f>
        <v/>
      </c>
      <c r="F22" s="31">
        <f>IF(AA19="","",AA19)</f>
        <v/>
      </c>
      <c r="H22" s="31">
        <f>IF(AA20="","",AA20)</f>
        <v/>
      </c>
      <c r="J22" s="31">
        <f>IF(AA21="","",AA21)</f>
        <v/>
      </c>
      <c r="L22" s="31">
        <f>IF(AA22="","",AA22)</f>
        <v/>
      </c>
      <c r="AA22" s="26">
        <f>IF(INDEX(Klassenliste!$B$6:$B$40,18)=0,"",18&amp;" "&amp;INDEX(Klassenliste!$C$6:$C$40,18)&amp;" "&amp;LEFT(INDEX(Klassenliste!$B$6:$B$40,18),1)&amp;".")</f>
        <v/>
      </c>
    </row>
    <row r="23" ht="22" customHeight="1">
      <c r="B23" s="31">
        <f>IF(AA23="","",AA23)</f>
        <v/>
      </c>
      <c r="D23" s="31">
        <f>IF(AA24="","",AA24)</f>
        <v/>
      </c>
      <c r="F23" s="31">
        <f>IF(AA25="","",AA25)</f>
        <v/>
      </c>
      <c r="H23" s="31">
        <f>IF(AA26="","",AA26)</f>
        <v/>
      </c>
      <c r="J23" s="31">
        <f>IF(AA27="","",AA27)</f>
        <v/>
      </c>
      <c r="L23" s="31">
        <f>IF(AA28="","",AA28)</f>
        <v/>
      </c>
      <c r="AA23" s="26">
        <f>IF(INDEX(Klassenliste!$B$6:$B$40,19)=0,"",19&amp;" "&amp;INDEX(Klassenliste!$C$6:$C$40,19)&amp;" "&amp;LEFT(INDEX(Klassenliste!$B$6:$B$40,19),1)&amp;".")</f>
        <v/>
      </c>
    </row>
    <row r="24" ht="22" customHeight="1">
      <c r="B24" s="31">
        <f>IF(AA29="","",AA29)</f>
        <v/>
      </c>
      <c r="D24" s="31">
        <f>IF(AA30="","",AA30)</f>
        <v/>
      </c>
      <c r="F24" s="31">
        <f>IF(AA31="","",AA31)</f>
        <v/>
      </c>
      <c r="H24" s="31">
        <f>IF(AA32="","",AA32)</f>
        <v/>
      </c>
      <c r="J24" s="31">
        <f>IF(AA33="","",AA33)</f>
        <v/>
      </c>
      <c r="L24" s="31">
        <f>IF(AA34="","",AA34)</f>
        <v/>
      </c>
      <c r="AA24" s="26">
        <f>IF(INDEX(Klassenliste!$B$6:$B$40,20)=0,"",20&amp;" "&amp;INDEX(Klassenliste!$C$6:$C$40,20)&amp;" "&amp;LEFT(INDEX(Klassenliste!$B$6:$B$40,20),1)&amp;".")</f>
        <v/>
      </c>
    </row>
    <row r="25" ht="22" customHeight="1">
      <c r="B25" s="31">
        <f>IF(AA35="","",AA35)</f>
        <v/>
      </c>
      <c r="D25" s="31">
        <f>IF(AA36="","",AA36)</f>
        <v/>
      </c>
      <c r="F25" s="31">
        <f>IF(AA37="","",AA37)</f>
        <v/>
      </c>
      <c r="H25" s="31">
        <f>IF(AA38="","",AA38)</f>
        <v/>
      </c>
      <c r="J25" s="31">
        <f>IF(AA39="","",AA39)</f>
        <v/>
      </c>
      <c r="L25" s="31" t="inlineStr"/>
      <c r="AA25" s="26">
        <f>IF(INDEX(Klassenliste!$B$6:$B$40,21)=0,"",21&amp;" "&amp;INDEX(Klassenliste!$C$6:$C$40,21)&amp;" "&amp;LEFT(INDEX(Klassenliste!$B$6:$B$40,21),1)&amp;".")</f>
        <v/>
      </c>
    </row>
    <row r="26">
      <c r="AA26" s="26">
        <f>IF(INDEX(Klassenliste!$B$6:$B$40,22)=0,"",22&amp;" "&amp;INDEX(Klassenliste!$C$6:$C$40,22)&amp;" "&amp;LEFT(INDEX(Klassenliste!$B$6:$B$40,22),1)&amp;".")</f>
        <v/>
      </c>
    </row>
    <row r="27">
      <c r="AA27" s="26">
        <f>IF(INDEX(Klassenliste!$B$6:$B$40,23)=0,"",23&amp;" "&amp;INDEX(Klassenliste!$C$6:$C$40,23)&amp;" "&amp;LEFT(INDEX(Klassenliste!$B$6:$B$40,23),1)&amp;".")</f>
        <v/>
      </c>
    </row>
    <row r="28">
      <c r="AA28" s="26">
        <f>IF(INDEX(Klassenliste!$B$6:$B$40,24)=0,"",24&amp;" "&amp;INDEX(Klassenliste!$C$6:$C$40,24)&amp;" "&amp;LEFT(INDEX(Klassenliste!$B$6:$B$40,24),1)&amp;".")</f>
        <v/>
      </c>
    </row>
    <row r="29">
      <c r="AA29" s="26">
        <f>IF(INDEX(Klassenliste!$B$6:$B$40,25)=0,"",25&amp;" "&amp;INDEX(Klassenliste!$C$6:$C$40,25)&amp;" "&amp;LEFT(INDEX(Klassenliste!$B$6:$B$40,25),1)&amp;".")</f>
        <v/>
      </c>
    </row>
    <row r="30">
      <c r="AA30" s="26">
        <f>IF(INDEX(Klassenliste!$B$6:$B$40,26)=0,"",26&amp;" "&amp;INDEX(Klassenliste!$C$6:$C$40,26)&amp;" "&amp;LEFT(INDEX(Klassenliste!$B$6:$B$40,26),1)&amp;".")</f>
        <v/>
      </c>
    </row>
    <row r="31">
      <c r="AA31" s="26">
        <f>IF(INDEX(Klassenliste!$B$6:$B$40,27)=0,"",27&amp;" "&amp;INDEX(Klassenliste!$C$6:$C$40,27)&amp;" "&amp;LEFT(INDEX(Klassenliste!$B$6:$B$40,27),1)&amp;".")</f>
        <v/>
      </c>
    </row>
    <row r="32">
      <c r="AA32" s="26">
        <f>IF(INDEX(Klassenliste!$B$6:$B$40,28)=0,"",28&amp;" "&amp;INDEX(Klassenliste!$C$6:$C$40,28)&amp;" "&amp;LEFT(INDEX(Klassenliste!$B$6:$B$40,28),1)&amp;".")</f>
        <v/>
      </c>
    </row>
    <row r="33">
      <c r="AA33" s="26">
        <f>IF(INDEX(Klassenliste!$B$6:$B$40,29)=0,"",29&amp;" "&amp;INDEX(Klassenliste!$C$6:$C$40,29)&amp;" "&amp;LEFT(INDEX(Klassenliste!$B$6:$B$40,29),1)&amp;".")</f>
        <v/>
      </c>
    </row>
    <row r="34">
      <c r="AA34" s="26">
        <f>IF(INDEX(Klassenliste!$B$6:$B$40,30)=0,"",30&amp;" "&amp;INDEX(Klassenliste!$C$6:$C$40,30)&amp;" "&amp;LEFT(INDEX(Klassenliste!$B$6:$B$40,30),1)&amp;".")</f>
        <v/>
      </c>
    </row>
    <row r="35">
      <c r="AA35" s="26">
        <f>IF(INDEX(Klassenliste!$B$6:$B$40,31)=0,"",31&amp;" "&amp;INDEX(Klassenliste!$C$6:$C$40,31)&amp;" "&amp;LEFT(INDEX(Klassenliste!$B$6:$B$40,31),1)&amp;".")</f>
        <v/>
      </c>
    </row>
    <row r="36">
      <c r="AA36" s="26">
        <f>IF(INDEX(Klassenliste!$B$6:$B$40,32)=0,"",32&amp;" "&amp;INDEX(Klassenliste!$C$6:$C$40,32)&amp;" "&amp;LEFT(INDEX(Klassenliste!$B$6:$B$40,32),1)&amp;".")</f>
        <v/>
      </c>
    </row>
    <row r="37">
      <c r="AA37" s="26">
        <f>IF(INDEX(Klassenliste!$B$6:$B$40,33)=0,"",33&amp;" "&amp;INDEX(Klassenliste!$C$6:$C$40,33)&amp;" "&amp;LEFT(INDEX(Klassenliste!$B$6:$B$40,33),1)&amp;".")</f>
        <v/>
      </c>
    </row>
    <row r="38">
      <c r="AA38" s="26">
        <f>IF(INDEX(Klassenliste!$B$6:$B$40,34)=0,"",34&amp;" "&amp;INDEX(Klassenliste!$C$6:$C$40,34)&amp;" "&amp;LEFT(INDEX(Klassenliste!$B$6:$B$40,34),1)&amp;".")</f>
        <v/>
      </c>
    </row>
    <row r="39">
      <c r="AA39" s="26">
        <f>IF(INDEX(Klassenliste!$B$6:$B$40,35)=0,"",35&amp;" "&amp;INDEX(Klassenliste!$C$6:$C$40,35)&amp;" "&amp;LEFT(INDEX(Klassenliste!$B$6:$B$40,35),1)&amp;".")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1">
    <mergeCell ref="D20:E20"/>
    <mergeCell ref="H20:I20"/>
    <mergeCell ref="B25:C25"/>
    <mergeCell ref="F25:G25"/>
    <mergeCell ref="B22:C22"/>
    <mergeCell ref="D22:E22"/>
    <mergeCell ref="D21:E21"/>
    <mergeCell ref="F21:G21"/>
    <mergeCell ref="H25:I25"/>
    <mergeCell ref="B21:C21"/>
    <mergeCell ref="H21:I21"/>
    <mergeCell ref="F24:G24"/>
    <mergeCell ref="J24:K24"/>
    <mergeCell ref="L24:M24"/>
    <mergeCell ref="F20:G20"/>
    <mergeCell ref="B23:C23"/>
    <mergeCell ref="L23:M23"/>
    <mergeCell ref="F2:G2"/>
    <mergeCell ref="J20:K20"/>
    <mergeCell ref="L20:M20"/>
    <mergeCell ref="F23:G23"/>
    <mergeCell ref="J25:K25"/>
    <mergeCell ref="L25:M25"/>
    <mergeCell ref="F22:G22"/>
    <mergeCell ref="H22:I22"/>
    <mergeCell ref="J22:K22"/>
    <mergeCell ref="L22:M22"/>
    <mergeCell ref="D25:E25"/>
    <mergeCell ref="J21:K21"/>
    <mergeCell ref="B24:C24"/>
    <mergeCell ref="L21:M21"/>
    <mergeCell ref="F17:I17"/>
    <mergeCell ref="D24:E24"/>
    <mergeCell ref="G16:H16"/>
    <mergeCell ref="J2:K2"/>
    <mergeCell ref="B20:C20"/>
    <mergeCell ref="A1:L1"/>
    <mergeCell ref="H24:I24"/>
    <mergeCell ref="D23:E23"/>
    <mergeCell ref="H23:I23"/>
    <mergeCell ref="J23:K23"/>
  </mergeCells>
  <conditionalFormatting sqref="B4:M14">
    <cfRule type="expression" priority="1" dxfId="3">
      <formula>B4&lt;&gt;""</formula>
    </cfRule>
  </conditionalFormatting>
  <dataValidations count="1">
    <dataValidation sqref="B4:M14" showDropDown="0" showInputMessage="0" showErrorMessage="0" allowBlank="1" type="list">
      <formula1>=$AA$5:$AA$39</formula1>
    </dataValidation>
  </dataValidations>
  <printOptions horizontalCentered="1"/>
  <pageMargins left="0.25" right="0.25" top="0.5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tabColor rgb="00A8C0CC"/>
    <outlinePr summaryBelow="1" summaryRight="1"/>
    <pageSetUpPr fitToPage="1"/>
  </sheetPr>
  <dimension ref="A1:AI40"/>
  <sheetViews>
    <sheetView showGridLines="0" zoomScale="10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5" customWidth="1" min="4" max="4"/>
    <col width="5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6.2" customWidth="1" min="32" max="32"/>
    <col width="6.2" customWidth="1" min="33" max="33"/>
    <col width="6.2" customWidth="1" min="34" max="34"/>
    <col width="6.2" customWidth="1" min="35" max="35"/>
  </cols>
  <sheetData>
    <row r="1" ht="26" customHeight="1">
      <c r="A1" s="1" t="inlineStr">
        <is>
          <t>Anwesenheit 1. Halbjahr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8">
        <f>HYPERLINK("#Start!A1","⌂")</f>
        <v/>
      </c>
    </row>
    <row r="2" ht="14" customHeight="1">
      <c r="B2" s="12" t="inlineStr">
        <is>
          <t>e = entschuldigt · u = unentschuldigt · leer = anwesend  (eine Spalte je Termin/Stunde)</t>
        </is>
      </c>
    </row>
    <row r="4" ht="15" customHeight="1">
      <c r="E4" s="32" t="inlineStr">
        <is>
          <t>Datum →</t>
        </is>
      </c>
      <c r="F4" s="33" t="inlineStr"/>
      <c r="G4" s="33" t="inlineStr"/>
      <c r="H4" s="33" t="inlineStr"/>
      <c r="I4" s="33" t="inlineStr"/>
      <c r="J4" s="34" t="inlineStr"/>
      <c r="K4" s="33" t="inlineStr"/>
      <c r="L4" s="33" t="inlineStr"/>
      <c r="M4" s="33" t="inlineStr"/>
      <c r="N4" s="33" t="inlineStr"/>
      <c r="O4" s="34" t="inlineStr"/>
      <c r="P4" s="33" t="inlineStr"/>
      <c r="Q4" s="33" t="inlineStr"/>
      <c r="R4" s="33" t="inlineStr"/>
      <c r="S4" s="33" t="inlineStr"/>
      <c r="T4" s="34" t="inlineStr"/>
      <c r="U4" s="33" t="inlineStr"/>
      <c r="V4" s="33" t="inlineStr"/>
      <c r="W4" s="33" t="inlineStr"/>
      <c r="X4" s="33" t="inlineStr"/>
      <c r="Y4" s="34" t="inlineStr"/>
      <c r="Z4" s="33" t="inlineStr"/>
      <c r="AA4" s="33" t="inlineStr"/>
      <c r="AB4" s="33" t="inlineStr"/>
      <c r="AC4" s="33" t="inlineStr"/>
      <c r="AD4" s="34" t="inlineStr"/>
      <c r="AE4" s="33" t="inlineStr"/>
      <c r="AF4" s="33" t="inlineStr"/>
      <c r="AG4" s="33" t="inlineStr"/>
      <c r="AH4" s="33" t="inlineStr"/>
      <c r="AI4" s="34" t="inlineStr"/>
    </row>
    <row r="5" ht="18" customHeight="1">
      <c r="A5" s="17" t="inlineStr">
        <is>
          <t>Nr</t>
        </is>
      </c>
      <c r="B5" s="18" t="inlineStr">
        <is>
          <t>Name</t>
        </is>
      </c>
      <c r="C5" s="18" t="inlineStr">
        <is>
          <t>Vorname</t>
        </is>
      </c>
      <c r="D5" s="17" t="inlineStr">
        <is>
          <t>FS</t>
        </is>
      </c>
      <c r="E5" s="35" t="inlineStr">
        <is>
          <t>uE</t>
        </is>
      </c>
      <c r="J5" s="36" t="n"/>
      <c r="O5" s="36" t="n"/>
      <c r="T5" s="36" t="n"/>
      <c r="Y5" s="36" t="n"/>
      <c r="AD5" s="36" t="n"/>
      <c r="AI5" s="36" t="n"/>
    </row>
    <row r="6">
      <c r="A6" s="37" t="n">
        <v>1</v>
      </c>
      <c r="B6" s="31">
        <f>IF(INDEX(Klassenliste!$B$6:$B$40,1)=0,"",INDEX(Klassenliste!$B$6:$B$40,1))</f>
        <v/>
      </c>
      <c r="C6" s="31">
        <f>IF(INDEX(Klassenliste!$C$6:$C$40,1)=0,"",INDEX(Klassenliste!$C$6:$C$40,1))</f>
        <v/>
      </c>
      <c r="D6" s="19">
        <f>IF($B6="","",COUNTIF(F6:AI6,"e")+COUNTIF(F6:AI6,"u"))</f>
        <v/>
      </c>
      <c r="E6" s="38">
        <f>IF($B6="","",COUNTIF(F6:AI6,"u"))</f>
        <v/>
      </c>
      <c r="F6" s="39" t="inlineStr"/>
      <c r="G6" s="39" t="inlineStr"/>
      <c r="H6" s="39" t="inlineStr"/>
      <c r="I6" s="39" t="inlineStr"/>
      <c r="J6" s="40" t="inlineStr"/>
      <c r="K6" s="39" t="inlineStr"/>
      <c r="L6" s="39" t="inlineStr"/>
      <c r="M6" s="39" t="inlineStr"/>
      <c r="N6" s="39" t="inlineStr"/>
      <c r="O6" s="40" t="inlineStr"/>
      <c r="P6" s="39" t="inlineStr"/>
      <c r="Q6" s="39" t="inlineStr"/>
      <c r="R6" s="39" t="inlineStr"/>
      <c r="S6" s="39" t="inlineStr"/>
      <c r="T6" s="40" t="inlineStr"/>
      <c r="U6" s="39" t="inlineStr"/>
      <c r="V6" s="39" t="inlineStr"/>
      <c r="W6" s="39" t="inlineStr"/>
      <c r="X6" s="39" t="inlineStr"/>
      <c r="Y6" s="40" t="inlineStr"/>
      <c r="Z6" s="39" t="inlineStr"/>
      <c r="AA6" s="39" t="inlineStr"/>
      <c r="AB6" s="39" t="inlineStr"/>
      <c r="AC6" s="39" t="inlineStr"/>
      <c r="AD6" s="40" t="inlineStr"/>
      <c r="AE6" s="39" t="inlineStr"/>
      <c r="AF6" s="39" t="inlineStr"/>
      <c r="AG6" s="39" t="inlineStr"/>
      <c r="AH6" s="39" t="inlineStr"/>
      <c r="AI6" s="40" t="inlineStr"/>
    </row>
    <row r="7">
      <c r="A7" s="37" t="n">
        <v>2</v>
      </c>
      <c r="B7" s="31">
        <f>IF(INDEX(Klassenliste!$B$6:$B$40,2)=0,"",INDEX(Klassenliste!$B$6:$B$40,2))</f>
        <v/>
      </c>
      <c r="C7" s="31">
        <f>IF(INDEX(Klassenliste!$C$6:$C$40,2)=0,"",INDEX(Klassenliste!$C$6:$C$40,2))</f>
        <v/>
      </c>
      <c r="D7" s="19">
        <f>IF($B7="","",COUNTIF(F7:AI7,"e")+COUNTIF(F7:AI7,"u"))</f>
        <v/>
      </c>
      <c r="E7" s="38">
        <f>IF($B7="","",COUNTIF(F7:AI7,"u"))</f>
        <v/>
      </c>
      <c r="F7" s="39" t="inlineStr"/>
      <c r="G7" s="39" t="inlineStr"/>
      <c r="H7" s="39" t="inlineStr"/>
      <c r="I7" s="39" t="inlineStr"/>
      <c r="J7" s="40" t="inlineStr"/>
      <c r="K7" s="39" t="inlineStr"/>
      <c r="L7" s="39" t="inlineStr"/>
      <c r="M7" s="39" t="inlineStr"/>
      <c r="N7" s="39" t="inlineStr"/>
      <c r="O7" s="40" t="inlineStr"/>
      <c r="P7" s="39" t="inlineStr"/>
      <c r="Q7" s="39" t="inlineStr"/>
      <c r="R7" s="39" t="inlineStr"/>
      <c r="S7" s="39" t="inlineStr"/>
      <c r="T7" s="40" t="inlineStr"/>
      <c r="U7" s="39" t="inlineStr"/>
      <c r="V7" s="39" t="inlineStr"/>
      <c r="W7" s="39" t="inlineStr"/>
      <c r="X7" s="39" t="inlineStr"/>
      <c r="Y7" s="40" t="inlineStr"/>
      <c r="Z7" s="39" t="inlineStr"/>
      <c r="AA7" s="39" t="inlineStr"/>
      <c r="AB7" s="39" t="inlineStr"/>
      <c r="AC7" s="39" t="inlineStr"/>
      <c r="AD7" s="40" t="inlineStr"/>
      <c r="AE7" s="39" t="inlineStr"/>
      <c r="AF7" s="39" t="inlineStr"/>
      <c r="AG7" s="39" t="inlineStr"/>
      <c r="AH7" s="39" t="inlineStr"/>
      <c r="AI7" s="40" t="inlineStr"/>
    </row>
    <row r="8">
      <c r="A8" s="37" t="n">
        <v>3</v>
      </c>
      <c r="B8" s="31">
        <f>IF(INDEX(Klassenliste!$B$6:$B$40,3)=0,"",INDEX(Klassenliste!$B$6:$B$40,3))</f>
        <v/>
      </c>
      <c r="C8" s="31">
        <f>IF(INDEX(Klassenliste!$C$6:$C$40,3)=0,"",INDEX(Klassenliste!$C$6:$C$40,3))</f>
        <v/>
      </c>
      <c r="D8" s="19">
        <f>IF($B8="","",COUNTIF(F8:AI8,"e")+COUNTIF(F8:AI8,"u"))</f>
        <v/>
      </c>
      <c r="E8" s="38">
        <f>IF($B8="","",COUNTIF(F8:AI8,"u"))</f>
        <v/>
      </c>
      <c r="F8" s="39" t="inlineStr"/>
      <c r="G8" s="39" t="inlineStr"/>
      <c r="H8" s="39" t="inlineStr"/>
      <c r="I8" s="39" t="inlineStr"/>
      <c r="J8" s="40" t="inlineStr"/>
      <c r="K8" s="39" t="inlineStr"/>
      <c r="L8" s="39" t="inlineStr"/>
      <c r="M8" s="39" t="inlineStr"/>
      <c r="N8" s="39" t="inlineStr"/>
      <c r="O8" s="40" t="inlineStr"/>
      <c r="P8" s="39" t="inlineStr"/>
      <c r="Q8" s="39" t="inlineStr"/>
      <c r="R8" s="39" t="inlineStr"/>
      <c r="S8" s="39" t="inlineStr"/>
      <c r="T8" s="40" t="inlineStr"/>
      <c r="U8" s="39" t="inlineStr"/>
      <c r="V8" s="39" t="inlineStr"/>
      <c r="W8" s="39" t="inlineStr"/>
      <c r="X8" s="39" t="inlineStr"/>
      <c r="Y8" s="40" t="inlineStr"/>
      <c r="Z8" s="39" t="inlineStr"/>
      <c r="AA8" s="39" t="inlineStr"/>
      <c r="AB8" s="39" t="inlineStr"/>
      <c r="AC8" s="39" t="inlineStr"/>
      <c r="AD8" s="40" t="inlineStr"/>
      <c r="AE8" s="39" t="inlineStr"/>
      <c r="AF8" s="39" t="inlineStr"/>
      <c r="AG8" s="39" t="inlineStr"/>
      <c r="AH8" s="39" t="inlineStr"/>
      <c r="AI8" s="40" t="inlineStr"/>
    </row>
    <row r="9">
      <c r="A9" s="37" t="n">
        <v>4</v>
      </c>
      <c r="B9" s="31">
        <f>IF(INDEX(Klassenliste!$B$6:$B$40,4)=0,"",INDEX(Klassenliste!$B$6:$B$40,4))</f>
        <v/>
      </c>
      <c r="C9" s="31">
        <f>IF(INDEX(Klassenliste!$C$6:$C$40,4)=0,"",INDEX(Klassenliste!$C$6:$C$40,4))</f>
        <v/>
      </c>
      <c r="D9" s="19">
        <f>IF($B9="","",COUNTIF(F9:AI9,"e")+COUNTIF(F9:AI9,"u"))</f>
        <v/>
      </c>
      <c r="E9" s="38">
        <f>IF($B9="","",COUNTIF(F9:AI9,"u"))</f>
        <v/>
      </c>
      <c r="F9" s="39" t="inlineStr"/>
      <c r="G9" s="39" t="inlineStr"/>
      <c r="H9" s="39" t="inlineStr"/>
      <c r="I9" s="39" t="inlineStr"/>
      <c r="J9" s="40" t="inlineStr"/>
      <c r="K9" s="39" t="inlineStr"/>
      <c r="L9" s="39" t="inlineStr"/>
      <c r="M9" s="39" t="inlineStr"/>
      <c r="N9" s="39" t="inlineStr"/>
      <c r="O9" s="40" t="inlineStr"/>
      <c r="P9" s="39" t="inlineStr"/>
      <c r="Q9" s="39" t="inlineStr"/>
      <c r="R9" s="39" t="inlineStr"/>
      <c r="S9" s="39" t="inlineStr"/>
      <c r="T9" s="40" t="inlineStr"/>
      <c r="U9" s="39" t="inlineStr"/>
      <c r="V9" s="39" t="inlineStr"/>
      <c r="W9" s="39" t="inlineStr"/>
      <c r="X9" s="39" t="inlineStr"/>
      <c r="Y9" s="40" t="inlineStr"/>
      <c r="Z9" s="39" t="inlineStr"/>
      <c r="AA9" s="39" t="inlineStr"/>
      <c r="AB9" s="39" t="inlineStr"/>
      <c r="AC9" s="39" t="inlineStr"/>
      <c r="AD9" s="40" t="inlineStr"/>
      <c r="AE9" s="39" t="inlineStr"/>
      <c r="AF9" s="39" t="inlineStr"/>
      <c r="AG9" s="39" t="inlineStr"/>
      <c r="AH9" s="39" t="inlineStr"/>
      <c r="AI9" s="40" t="inlineStr"/>
    </row>
    <row r="10">
      <c r="A10" s="37" t="n">
        <v>5</v>
      </c>
      <c r="B10" s="31">
        <f>IF(INDEX(Klassenliste!$B$6:$B$40,5)=0,"",INDEX(Klassenliste!$B$6:$B$40,5))</f>
        <v/>
      </c>
      <c r="C10" s="31">
        <f>IF(INDEX(Klassenliste!$C$6:$C$40,5)=0,"",INDEX(Klassenliste!$C$6:$C$40,5))</f>
        <v/>
      </c>
      <c r="D10" s="19">
        <f>IF($B10="","",COUNTIF(F10:AI10,"e")+COUNTIF(F10:AI10,"u"))</f>
        <v/>
      </c>
      <c r="E10" s="38">
        <f>IF($B10="","",COUNTIF(F10:AI10,"u"))</f>
        <v/>
      </c>
      <c r="F10" s="39" t="inlineStr"/>
      <c r="G10" s="39" t="inlineStr"/>
      <c r="H10" s="39" t="inlineStr"/>
      <c r="I10" s="39" t="inlineStr"/>
      <c r="J10" s="40" t="inlineStr"/>
      <c r="K10" s="39" t="inlineStr"/>
      <c r="L10" s="39" t="inlineStr"/>
      <c r="M10" s="39" t="inlineStr"/>
      <c r="N10" s="39" t="inlineStr"/>
      <c r="O10" s="40" t="inlineStr"/>
      <c r="P10" s="39" t="inlineStr"/>
      <c r="Q10" s="39" t="inlineStr"/>
      <c r="R10" s="39" t="inlineStr"/>
      <c r="S10" s="39" t="inlineStr"/>
      <c r="T10" s="40" t="inlineStr"/>
      <c r="U10" s="39" t="inlineStr"/>
      <c r="V10" s="39" t="inlineStr"/>
      <c r="W10" s="39" t="inlineStr"/>
      <c r="X10" s="39" t="inlineStr"/>
      <c r="Y10" s="40" t="inlineStr"/>
      <c r="Z10" s="39" t="inlineStr"/>
      <c r="AA10" s="39" t="inlineStr"/>
      <c r="AB10" s="39" t="inlineStr"/>
      <c r="AC10" s="39" t="inlineStr"/>
      <c r="AD10" s="40" t="inlineStr"/>
      <c r="AE10" s="39" t="inlineStr"/>
      <c r="AF10" s="39" t="inlineStr"/>
      <c r="AG10" s="39" t="inlineStr"/>
      <c r="AH10" s="39" t="inlineStr"/>
      <c r="AI10" s="40" t="inlineStr"/>
    </row>
    <row r="11">
      <c r="A11" s="37" t="n">
        <v>6</v>
      </c>
      <c r="B11" s="31">
        <f>IF(INDEX(Klassenliste!$B$6:$B$40,6)=0,"",INDEX(Klassenliste!$B$6:$B$40,6))</f>
        <v/>
      </c>
      <c r="C11" s="31">
        <f>IF(INDEX(Klassenliste!$C$6:$C$40,6)=0,"",INDEX(Klassenliste!$C$6:$C$40,6))</f>
        <v/>
      </c>
      <c r="D11" s="19">
        <f>IF($B11="","",COUNTIF(F11:AI11,"e")+COUNTIF(F11:AI11,"u"))</f>
        <v/>
      </c>
      <c r="E11" s="38">
        <f>IF($B11="","",COUNTIF(F11:AI11,"u"))</f>
        <v/>
      </c>
      <c r="F11" s="39" t="inlineStr"/>
      <c r="G11" s="39" t="inlineStr"/>
      <c r="H11" s="39" t="inlineStr"/>
      <c r="I11" s="39" t="inlineStr"/>
      <c r="J11" s="40" t="inlineStr"/>
      <c r="K11" s="39" t="inlineStr"/>
      <c r="L11" s="39" t="inlineStr"/>
      <c r="M11" s="39" t="inlineStr"/>
      <c r="N11" s="39" t="inlineStr"/>
      <c r="O11" s="40" t="inlineStr"/>
      <c r="P11" s="39" t="inlineStr"/>
      <c r="Q11" s="39" t="inlineStr"/>
      <c r="R11" s="39" t="inlineStr"/>
      <c r="S11" s="39" t="inlineStr"/>
      <c r="T11" s="40" t="inlineStr"/>
      <c r="U11" s="39" t="inlineStr"/>
      <c r="V11" s="39" t="inlineStr"/>
      <c r="W11" s="39" t="inlineStr"/>
      <c r="X11" s="39" t="inlineStr"/>
      <c r="Y11" s="40" t="inlineStr"/>
      <c r="Z11" s="39" t="inlineStr"/>
      <c r="AA11" s="39" t="inlineStr"/>
      <c r="AB11" s="39" t="inlineStr"/>
      <c r="AC11" s="39" t="inlineStr"/>
      <c r="AD11" s="40" t="inlineStr"/>
      <c r="AE11" s="39" t="inlineStr"/>
      <c r="AF11" s="39" t="inlineStr"/>
      <c r="AG11" s="39" t="inlineStr"/>
      <c r="AH11" s="39" t="inlineStr"/>
      <c r="AI11" s="40" t="inlineStr"/>
    </row>
    <row r="12">
      <c r="A12" s="37" t="n">
        <v>7</v>
      </c>
      <c r="B12" s="31">
        <f>IF(INDEX(Klassenliste!$B$6:$B$40,7)=0,"",INDEX(Klassenliste!$B$6:$B$40,7))</f>
        <v/>
      </c>
      <c r="C12" s="31">
        <f>IF(INDEX(Klassenliste!$C$6:$C$40,7)=0,"",INDEX(Klassenliste!$C$6:$C$40,7))</f>
        <v/>
      </c>
      <c r="D12" s="19">
        <f>IF($B12="","",COUNTIF(F12:AI12,"e")+COUNTIF(F12:AI12,"u"))</f>
        <v/>
      </c>
      <c r="E12" s="38">
        <f>IF($B12="","",COUNTIF(F12:AI12,"u"))</f>
        <v/>
      </c>
      <c r="F12" s="39" t="inlineStr"/>
      <c r="G12" s="39" t="inlineStr"/>
      <c r="H12" s="39" t="inlineStr"/>
      <c r="I12" s="39" t="inlineStr"/>
      <c r="J12" s="40" t="inlineStr"/>
      <c r="K12" s="39" t="inlineStr"/>
      <c r="L12" s="39" t="inlineStr"/>
      <c r="M12" s="39" t="inlineStr"/>
      <c r="N12" s="39" t="inlineStr"/>
      <c r="O12" s="40" t="inlineStr"/>
      <c r="P12" s="39" t="inlineStr"/>
      <c r="Q12" s="39" t="inlineStr"/>
      <c r="R12" s="39" t="inlineStr"/>
      <c r="S12" s="39" t="inlineStr"/>
      <c r="T12" s="40" t="inlineStr"/>
      <c r="U12" s="39" t="inlineStr"/>
      <c r="V12" s="39" t="inlineStr"/>
      <c r="W12" s="39" t="inlineStr"/>
      <c r="X12" s="39" t="inlineStr"/>
      <c r="Y12" s="40" t="inlineStr"/>
      <c r="Z12" s="39" t="inlineStr"/>
      <c r="AA12" s="39" t="inlineStr"/>
      <c r="AB12" s="39" t="inlineStr"/>
      <c r="AC12" s="39" t="inlineStr"/>
      <c r="AD12" s="40" t="inlineStr"/>
      <c r="AE12" s="39" t="inlineStr"/>
      <c r="AF12" s="39" t="inlineStr"/>
      <c r="AG12" s="39" t="inlineStr"/>
      <c r="AH12" s="39" t="inlineStr"/>
      <c r="AI12" s="40" t="inlineStr"/>
    </row>
    <row r="13">
      <c r="A13" s="37" t="n">
        <v>8</v>
      </c>
      <c r="B13" s="31">
        <f>IF(INDEX(Klassenliste!$B$6:$B$40,8)=0,"",INDEX(Klassenliste!$B$6:$B$40,8))</f>
        <v/>
      </c>
      <c r="C13" s="31">
        <f>IF(INDEX(Klassenliste!$C$6:$C$40,8)=0,"",INDEX(Klassenliste!$C$6:$C$40,8))</f>
        <v/>
      </c>
      <c r="D13" s="19">
        <f>IF($B13="","",COUNTIF(F13:AI13,"e")+COUNTIF(F13:AI13,"u"))</f>
        <v/>
      </c>
      <c r="E13" s="38">
        <f>IF($B13="","",COUNTIF(F13:AI13,"u"))</f>
        <v/>
      </c>
      <c r="F13" s="39" t="inlineStr"/>
      <c r="G13" s="39" t="inlineStr"/>
      <c r="H13" s="39" t="inlineStr"/>
      <c r="I13" s="39" t="inlineStr"/>
      <c r="J13" s="40" t="inlineStr"/>
      <c r="K13" s="39" t="inlineStr"/>
      <c r="L13" s="39" t="inlineStr"/>
      <c r="M13" s="39" t="inlineStr"/>
      <c r="N13" s="39" t="inlineStr"/>
      <c r="O13" s="40" t="inlineStr"/>
      <c r="P13" s="39" t="inlineStr"/>
      <c r="Q13" s="39" t="inlineStr"/>
      <c r="R13" s="39" t="inlineStr"/>
      <c r="S13" s="39" t="inlineStr"/>
      <c r="T13" s="40" t="inlineStr"/>
      <c r="U13" s="39" t="inlineStr"/>
      <c r="V13" s="39" t="inlineStr"/>
      <c r="W13" s="39" t="inlineStr"/>
      <c r="X13" s="39" t="inlineStr"/>
      <c r="Y13" s="40" t="inlineStr"/>
      <c r="Z13" s="39" t="inlineStr"/>
      <c r="AA13" s="39" t="inlineStr"/>
      <c r="AB13" s="39" t="inlineStr"/>
      <c r="AC13" s="39" t="inlineStr"/>
      <c r="AD13" s="40" t="inlineStr"/>
      <c r="AE13" s="39" t="inlineStr"/>
      <c r="AF13" s="39" t="inlineStr"/>
      <c r="AG13" s="39" t="inlineStr"/>
      <c r="AH13" s="39" t="inlineStr"/>
      <c r="AI13" s="40" t="inlineStr"/>
    </row>
    <row r="14">
      <c r="A14" s="37" t="n">
        <v>9</v>
      </c>
      <c r="B14" s="31">
        <f>IF(INDEX(Klassenliste!$B$6:$B$40,9)=0,"",INDEX(Klassenliste!$B$6:$B$40,9))</f>
        <v/>
      </c>
      <c r="C14" s="31">
        <f>IF(INDEX(Klassenliste!$C$6:$C$40,9)=0,"",INDEX(Klassenliste!$C$6:$C$40,9))</f>
        <v/>
      </c>
      <c r="D14" s="19">
        <f>IF($B14="","",COUNTIF(F14:AI14,"e")+COUNTIF(F14:AI14,"u"))</f>
        <v/>
      </c>
      <c r="E14" s="38">
        <f>IF($B14="","",COUNTIF(F14:AI14,"u"))</f>
        <v/>
      </c>
      <c r="F14" s="39" t="inlineStr"/>
      <c r="G14" s="39" t="inlineStr"/>
      <c r="H14" s="39" t="inlineStr"/>
      <c r="I14" s="39" t="inlineStr"/>
      <c r="J14" s="40" t="inlineStr"/>
      <c r="K14" s="39" t="inlineStr"/>
      <c r="L14" s="39" t="inlineStr"/>
      <c r="M14" s="39" t="inlineStr"/>
      <c r="N14" s="39" t="inlineStr"/>
      <c r="O14" s="40" t="inlineStr"/>
      <c r="P14" s="39" t="inlineStr"/>
      <c r="Q14" s="39" t="inlineStr"/>
      <c r="R14" s="39" t="inlineStr"/>
      <c r="S14" s="39" t="inlineStr"/>
      <c r="T14" s="40" t="inlineStr"/>
      <c r="U14" s="39" t="inlineStr"/>
      <c r="V14" s="39" t="inlineStr"/>
      <c r="W14" s="39" t="inlineStr"/>
      <c r="X14" s="39" t="inlineStr"/>
      <c r="Y14" s="40" t="inlineStr"/>
      <c r="Z14" s="39" t="inlineStr"/>
      <c r="AA14" s="39" t="inlineStr"/>
      <c r="AB14" s="39" t="inlineStr"/>
      <c r="AC14" s="39" t="inlineStr"/>
      <c r="AD14" s="40" t="inlineStr"/>
      <c r="AE14" s="39" t="inlineStr"/>
      <c r="AF14" s="39" t="inlineStr"/>
      <c r="AG14" s="39" t="inlineStr"/>
      <c r="AH14" s="39" t="inlineStr"/>
      <c r="AI14" s="40" t="inlineStr"/>
    </row>
    <row r="15">
      <c r="A15" s="37" t="n">
        <v>10</v>
      </c>
      <c r="B15" s="31">
        <f>IF(INDEX(Klassenliste!$B$6:$B$40,10)=0,"",INDEX(Klassenliste!$B$6:$B$40,10))</f>
        <v/>
      </c>
      <c r="C15" s="31">
        <f>IF(INDEX(Klassenliste!$C$6:$C$40,10)=0,"",INDEX(Klassenliste!$C$6:$C$40,10))</f>
        <v/>
      </c>
      <c r="D15" s="19">
        <f>IF($B15="","",COUNTIF(F15:AI15,"e")+COUNTIF(F15:AI15,"u"))</f>
        <v/>
      </c>
      <c r="E15" s="38">
        <f>IF($B15="","",COUNTIF(F15:AI15,"u"))</f>
        <v/>
      </c>
      <c r="F15" s="39" t="inlineStr"/>
      <c r="G15" s="39" t="inlineStr"/>
      <c r="H15" s="39" t="inlineStr"/>
      <c r="I15" s="39" t="inlineStr"/>
      <c r="J15" s="40" t="inlineStr"/>
      <c r="K15" s="39" t="inlineStr"/>
      <c r="L15" s="39" t="inlineStr"/>
      <c r="M15" s="39" t="inlineStr"/>
      <c r="N15" s="39" t="inlineStr"/>
      <c r="O15" s="40" t="inlineStr"/>
      <c r="P15" s="39" t="inlineStr"/>
      <c r="Q15" s="39" t="inlineStr"/>
      <c r="R15" s="39" t="inlineStr"/>
      <c r="S15" s="39" t="inlineStr"/>
      <c r="T15" s="40" t="inlineStr"/>
      <c r="U15" s="39" t="inlineStr"/>
      <c r="V15" s="39" t="inlineStr"/>
      <c r="W15" s="39" t="inlineStr"/>
      <c r="X15" s="39" t="inlineStr"/>
      <c r="Y15" s="40" t="inlineStr"/>
      <c r="Z15" s="39" t="inlineStr"/>
      <c r="AA15" s="39" t="inlineStr"/>
      <c r="AB15" s="39" t="inlineStr"/>
      <c r="AC15" s="39" t="inlineStr"/>
      <c r="AD15" s="40" t="inlineStr"/>
      <c r="AE15" s="39" t="inlineStr"/>
      <c r="AF15" s="39" t="inlineStr"/>
      <c r="AG15" s="39" t="inlineStr"/>
      <c r="AH15" s="39" t="inlineStr"/>
      <c r="AI15" s="40" t="inlineStr"/>
    </row>
    <row r="16">
      <c r="A16" s="37" t="n">
        <v>11</v>
      </c>
      <c r="B16" s="31">
        <f>IF(INDEX(Klassenliste!$B$6:$B$40,11)=0,"",INDEX(Klassenliste!$B$6:$B$40,11))</f>
        <v/>
      </c>
      <c r="C16" s="31">
        <f>IF(INDEX(Klassenliste!$C$6:$C$40,11)=0,"",INDEX(Klassenliste!$C$6:$C$40,11))</f>
        <v/>
      </c>
      <c r="D16" s="19">
        <f>IF($B16="","",COUNTIF(F16:AI16,"e")+COUNTIF(F16:AI16,"u"))</f>
        <v/>
      </c>
      <c r="E16" s="38">
        <f>IF($B16="","",COUNTIF(F16:AI16,"u"))</f>
        <v/>
      </c>
      <c r="F16" s="39" t="inlineStr"/>
      <c r="G16" s="39" t="inlineStr"/>
      <c r="H16" s="39" t="inlineStr"/>
      <c r="I16" s="39" t="inlineStr"/>
      <c r="J16" s="40" t="inlineStr"/>
      <c r="K16" s="39" t="inlineStr"/>
      <c r="L16" s="39" t="inlineStr"/>
      <c r="M16" s="39" t="inlineStr"/>
      <c r="N16" s="39" t="inlineStr"/>
      <c r="O16" s="40" t="inlineStr"/>
      <c r="P16" s="39" t="inlineStr"/>
      <c r="Q16" s="39" t="inlineStr"/>
      <c r="R16" s="39" t="inlineStr"/>
      <c r="S16" s="39" t="inlineStr"/>
      <c r="T16" s="40" t="inlineStr"/>
      <c r="U16" s="39" t="inlineStr"/>
      <c r="V16" s="39" t="inlineStr"/>
      <c r="W16" s="39" t="inlineStr"/>
      <c r="X16" s="39" t="inlineStr"/>
      <c r="Y16" s="40" t="inlineStr"/>
      <c r="Z16" s="39" t="inlineStr"/>
      <c r="AA16" s="39" t="inlineStr"/>
      <c r="AB16" s="39" t="inlineStr"/>
      <c r="AC16" s="39" t="inlineStr"/>
      <c r="AD16" s="40" t="inlineStr"/>
      <c r="AE16" s="39" t="inlineStr"/>
      <c r="AF16" s="39" t="inlineStr"/>
      <c r="AG16" s="39" t="inlineStr"/>
      <c r="AH16" s="39" t="inlineStr"/>
      <c r="AI16" s="40" t="inlineStr"/>
    </row>
    <row r="17">
      <c r="A17" s="37" t="n">
        <v>12</v>
      </c>
      <c r="B17" s="31">
        <f>IF(INDEX(Klassenliste!$B$6:$B$40,12)=0,"",INDEX(Klassenliste!$B$6:$B$40,12))</f>
        <v/>
      </c>
      <c r="C17" s="31">
        <f>IF(INDEX(Klassenliste!$C$6:$C$40,12)=0,"",INDEX(Klassenliste!$C$6:$C$40,12))</f>
        <v/>
      </c>
      <c r="D17" s="19">
        <f>IF($B17="","",COUNTIF(F17:AI17,"e")+COUNTIF(F17:AI17,"u"))</f>
        <v/>
      </c>
      <c r="E17" s="38">
        <f>IF($B17="","",COUNTIF(F17:AI17,"u"))</f>
        <v/>
      </c>
      <c r="F17" s="39" t="inlineStr"/>
      <c r="G17" s="39" t="inlineStr"/>
      <c r="H17" s="39" t="inlineStr"/>
      <c r="I17" s="39" t="inlineStr"/>
      <c r="J17" s="40" t="inlineStr"/>
      <c r="K17" s="39" t="inlineStr"/>
      <c r="L17" s="39" t="inlineStr"/>
      <c r="M17" s="39" t="inlineStr"/>
      <c r="N17" s="39" t="inlineStr"/>
      <c r="O17" s="40" t="inlineStr"/>
      <c r="P17" s="39" t="inlineStr"/>
      <c r="Q17" s="39" t="inlineStr"/>
      <c r="R17" s="39" t="inlineStr"/>
      <c r="S17" s="39" t="inlineStr"/>
      <c r="T17" s="40" t="inlineStr"/>
      <c r="U17" s="39" t="inlineStr"/>
      <c r="V17" s="39" t="inlineStr"/>
      <c r="W17" s="39" t="inlineStr"/>
      <c r="X17" s="39" t="inlineStr"/>
      <c r="Y17" s="40" t="inlineStr"/>
      <c r="Z17" s="39" t="inlineStr"/>
      <c r="AA17" s="39" t="inlineStr"/>
      <c r="AB17" s="39" t="inlineStr"/>
      <c r="AC17" s="39" t="inlineStr"/>
      <c r="AD17" s="40" t="inlineStr"/>
      <c r="AE17" s="39" t="inlineStr"/>
      <c r="AF17" s="39" t="inlineStr"/>
      <c r="AG17" s="39" t="inlineStr"/>
      <c r="AH17" s="39" t="inlineStr"/>
      <c r="AI17" s="40" t="inlineStr"/>
    </row>
    <row r="18">
      <c r="A18" s="37" t="n">
        <v>13</v>
      </c>
      <c r="B18" s="31">
        <f>IF(INDEX(Klassenliste!$B$6:$B$40,13)=0,"",INDEX(Klassenliste!$B$6:$B$40,13))</f>
        <v/>
      </c>
      <c r="C18" s="31">
        <f>IF(INDEX(Klassenliste!$C$6:$C$40,13)=0,"",INDEX(Klassenliste!$C$6:$C$40,13))</f>
        <v/>
      </c>
      <c r="D18" s="19">
        <f>IF($B18="","",COUNTIF(F18:AI18,"e")+COUNTIF(F18:AI18,"u"))</f>
        <v/>
      </c>
      <c r="E18" s="38">
        <f>IF($B18="","",COUNTIF(F18:AI18,"u"))</f>
        <v/>
      </c>
      <c r="F18" s="39" t="inlineStr"/>
      <c r="G18" s="39" t="inlineStr"/>
      <c r="H18" s="39" t="inlineStr"/>
      <c r="I18" s="39" t="inlineStr"/>
      <c r="J18" s="40" t="inlineStr"/>
      <c r="K18" s="39" t="inlineStr"/>
      <c r="L18" s="39" t="inlineStr"/>
      <c r="M18" s="39" t="inlineStr"/>
      <c r="N18" s="39" t="inlineStr"/>
      <c r="O18" s="40" t="inlineStr"/>
      <c r="P18" s="39" t="inlineStr"/>
      <c r="Q18" s="39" t="inlineStr"/>
      <c r="R18" s="39" t="inlineStr"/>
      <c r="S18" s="39" t="inlineStr"/>
      <c r="T18" s="40" t="inlineStr"/>
      <c r="U18" s="39" t="inlineStr"/>
      <c r="V18" s="39" t="inlineStr"/>
      <c r="W18" s="39" t="inlineStr"/>
      <c r="X18" s="39" t="inlineStr"/>
      <c r="Y18" s="40" t="inlineStr"/>
      <c r="Z18" s="39" t="inlineStr"/>
      <c r="AA18" s="39" t="inlineStr"/>
      <c r="AB18" s="39" t="inlineStr"/>
      <c r="AC18" s="39" t="inlineStr"/>
      <c r="AD18" s="40" t="inlineStr"/>
      <c r="AE18" s="39" t="inlineStr"/>
      <c r="AF18" s="39" t="inlineStr"/>
      <c r="AG18" s="39" t="inlineStr"/>
      <c r="AH18" s="39" t="inlineStr"/>
      <c r="AI18" s="40" t="inlineStr"/>
    </row>
    <row r="19">
      <c r="A19" s="37" t="n">
        <v>14</v>
      </c>
      <c r="B19" s="31">
        <f>IF(INDEX(Klassenliste!$B$6:$B$40,14)=0,"",INDEX(Klassenliste!$B$6:$B$40,14))</f>
        <v/>
      </c>
      <c r="C19" s="31">
        <f>IF(INDEX(Klassenliste!$C$6:$C$40,14)=0,"",INDEX(Klassenliste!$C$6:$C$40,14))</f>
        <v/>
      </c>
      <c r="D19" s="19">
        <f>IF($B19="","",COUNTIF(F19:AI19,"e")+COUNTIF(F19:AI19,"u"))</f>
        <v/>
      </c>
      <c r="E19" s="38">
        <f>IF($B19="","",COUNTIF(F19:AI19,"u"))</f>
        <v/>
      </c>
      <c r="F19" s="39" t="inlineStr"/>
      <c r="G19" s="39" t="inlineStr"/>
      <c r="H19" s="39" t="inlineStr"/>
      <c r="I19" s="39" t="inlineStr"/>
      <c r="J19" s="40" t="inlineStr"/>
      <c r="K19" s="39" t="inlineStr"/>
      <c r="L19" s="39" t="inlineStr"/>
      <c r="M19" s="39" t="inlineStr"/>
      <c r="N19" s="39" t="inlineStr"/>
      <c r="O19" s="40" t="inlineStr"/>
      <c r="P19" s="39" t="inlineStr"/>
      <c r="Q19" s="39" t="inlineStr"/>
      <c r="R19" s="39" t="inlineStr"/>
      <c r="S19" s="39" t="inlineStr"/>
      <c r="T19" s="40" t="inlineStr"/>
      <c r="U19" s="39" t="inlineStr"/>
      <c r="V19" s="39" t="inlineStr"/>
      <c r="W19" s="39" t="inlineStr"/>
      <c r="X19" s="39" t="inlineStr"/>
      <c r="Y19" s="40" t="inlineStr"/>
      <c r="Z19" s="39" t="inlineStr"/>
      <c r="AA19" s="39" t="inlineStr"/>
      <c r="AB19" s="39" t="inlineStr"/>
      <c r="AC19" s="39" t="inlineStr"/>
      <c r="AD19" s="40" t="inlineStr"/>
      <c r="AE19" s="39" t="inlineStr"/>
      <c r="AF19" s="39" t="inlineStr"/>
      <c r="AG19" s="39" t="inlineStr"/>
      <c r="AH19" s="39" t="inlineStr"/>
      <c r="AI19" s="40" t="inlineStr"/>
    </row>
    <row r="20">
      <c r="A20" s="37" t="n">
        <v>15</v>
      </c>
      <c r="B20" s="31">
        <f>IF(INDEX(Klassenliste!$B$6:$B$40,15)=0,"",INDEX(Klassenliste!$B$6:$B$40,15))</f>
        <v/>
      </c>
      <c r="C20" s="31">
        <f>IF(INDEX(Klassenliste!$C$6:$C$40,15)=0,"",INDEX(Klassenliste!$C$6:$C$40,15))</f>
        <v/>
      </c>
      <c r="D20" s="19">
        <f>IF($B20="","",COUNTIF(F20:AI20,"e")+COUNTIF(F20:AI20,"u"))</f>
        <v/>
      </c>
      <c r="E20" s="38">
        <f>IF($B20="","",COUNTIF(F20:AI20,"u"))</f>
        <v/>
      </c>
      <c r="F20" s="39" t="inlineStr"/>
      <c r="G20" s="39" t="inlineStr"/>
      <c r="H20" s="39" t="inlineStr"/>
      <c r="I20" s="39" t="inlineStr"/>
      <c r="J20" s="40" t="inlineStr"/>
      <c r="K20" s="39" t="inlineStr"/>
      <c r="L20" s="39" t="inlineStr"/>
      <c r="M20" s="39" t="inlineStr"/>
      <c r="N20" s="39" t="inlineStr"/>
      <c r="O20" s="40" t="inlineStr"/>
      <c r="P20" s="39" t="inlineStr"/>
      <c r="Q20" s="39" t="inlineStr"/>
      <c r="R20" s="39" t="inlineStr"/>
      <c r="S20" s="39" t="inlineStr"/>
      <c r="T20" s="40" t="inlineStr"/>
      <c r="U20" s="39" t="inlineStr"/>
      <c r="V20" s="39" t="inlineStr"/>
      <c r="W20" s="39" t="inlineStr"/>
      <c r="X20" s="39" t="inlineStr"/>
      <c r="Y20" s="40" t="inlineStr"/>
      <c r="Z20" s="39" t="inlineStr"/>
      <c r="AA20" s="39" t="inlineStr"/>
      <c r="AB20" s="39" t="inlineStr"/>
      <c r="AC20" s="39" t="inlineStr"/>
      <c r="AD20" s="40" t="inlineStr"/>
      <c r="AE20" s="39" t="inlineStr"/>
      <c r="AF20" s="39" t="inlineStr"/>
      <c r="AG20" s="39" t="inlineStr"/>
      <c r="AH20" s="39" t="inlineStr"/>
      <c r="AI20" s="40" t="inlineStr"/>
    </row>
    <row r="21">
      <c r="A21" s="37" t="n">
        <v>16</v>
      </c>
      <c r="B21" s="31">
        <f>IF(INDEX(Klassenliste!$B$6:$B$40,16)=0,"",INDEX(Klassenliste!$B$6:$B$40,16))</f>
        <v/>
      </c>
      <c r="C21" s="31">
        <f>IF(INDEX(Klassenliste!$C$6:$C$40,16)=0,"",INDEX(Klassenliste!$C$6:$C$40,16))</f>
        <v/>
      </c>
      <c r="D21" s="19">
        <f>IF($B21="","",COUNTIF(F21:AI21,"e")+COUNTIF(F21:AI21,"u"))</f>
        <v/>
      </c>
      <c r="E21" s="38">
        <f>IF($B21="","",COUNTIF(F21:AI21,"u"))</f>
        <v/>
      </c>
      <c r="F21" s="39" t="inlineStr"/>
      <c r="G21" s="39" t="inlineStr"/>
      <c r="H21" s="39" t="inlineStr"/>
      <c r="I21" s="39" t="inlineStr"/>
      <c r="J21" s="40" t="inlineStr"/>
      <c r="K21" s="39" t="inlineStr"/>
      <c r="L21" s="39" t="inlineStr"/>
      <c r="M21" s="39" t="inlineStr"/>
      <c r="N21" s="39" t="inlineStr"/>
      <c r="O21" s="40" t="inlineStr"/>
      <c r="P21" s="39" t="inlineStr"/>
      <c r="Q21" s="39" t="inlineStr"/>
      <c r="R21" s="39" t="inlineStr"/>
      <c r="S21" s="39" t="inlineStr"/>
      <c r="T21" s="40" t="inlineStr"/>
      <c r="U21" s="39" t="inlineStr"/>
      <c r="V21" s="39" t="inlineStr"/>
      <c r="W21" s="39" t="inlineStr"/>
      <c r="X21" s="39" t="inlineStr"/>
      <c r="Y21" s="40" t="inlineStr"/>
      <c r="Z21" s="39" t="inlineStr"/>
      <c r="AA21" s="39" t="inlineStr"/>
      <c r="AB21" s="39" t="inlineStr"/>
      <c r="AC21" s="39" t="inlineStr"/>
      <c r="AD21" s="40" t="inlineStr"/>
      <c r="AE21" s="39" t="inlineStr"/>
      <c r="AF21" s="39" t="inlineStr"/>
      <c r="AG21" s="39" t="inlineStr"/>
      <c r="AH21" s="39" t="inlineStr"/>
      <c r="AI21" s="40" t="inlineStr"/>
    </row>
    <row r="22">
      <c r="A22" s="37" t="n">
        <v>17</v>
      </c>
      <c r="B22" s="31">
        <f>IF(INDEX(Klassenliste!$B$6:$B$40,17)=0,"",INDEX(Klassenliste!$B$6:$B$40,17))</f>
        <v/>
      </c>
      <c r="C22" s="31">
        <f>IF(INDEX(Klassenliste!$C$6:$C$40,17)=0,"",INDEX(Klassenliste!$C$6:$C$40,17))</f>
        <v/>
      </c>
      <c r="D22" s="19">
        <f>IF($B22="","",COUNTIF(F22:AI22,"e")+COUNTIF(F22:AI22,"u"))</f>
        <v/>
      </c>
      <c r="E22" s="38">
        <f>IF($B22="","",COUNTIF(F22:AI22,"u"))</f>
        <v/>
      </c>
      <c r="F22" s="39" t="inlineStr"/>
      <c r="G22" s="39" t="inlineStr"/>
      <c r="H22" s="39" t="inlineStr"/>
      <c r="I22" s="39" t="inlineStr"/>
      <c r="J22" s="40" t="inlineStr"/>
      <c r="K22" s="39" t="inlineStr"/>
      <c r="L22" s="39" t="inlineStr"/>
      <c r="M22" s="39" t="inlineStr"/>
      <c r="N22" s="39" t="inlineStr"/>
      <c r="O22" s="40" t="inlineStr"/>
      <c r="P22" s="39" t="inlineStr"/>
      <c r="Q22" s="39" t="inlineStr"/>
      <c r="R22" s="39" t="inlineStr"/>
      <c r="S22" s="39" t="inlineStr"/>
      <c r="T22" s="40" t="inlineStr"/>
      <c r="U22" s="39" t="inlineStr"/>
      <c r="V22" s="39" t="inlineStr"/>
      <c r="W22" s="39" t="inlineStr"/>
      <c r="X22" s="39" t="inlineStr"/>
      <c r="Y22" s="40" t="inlineStr"/>
      <c r="Z22" s="39" t="inlineStr"/>
      <c r="AA22" s="39" t="inlineStr"/>
      <c r="AB22" s="39" t="inlineStr"/>
      <c r="AC22" s="39" t="inlineStr"/>
      <c r="AD22" s="40" t="inlineStr"/>
      <c r="AE22" s="39" t="inlineStr"/>
      <c r="AF22" s="39" t="inlineStr"/>
      <c r="AG22" s="39" t="inlineStr"/>
      <c r="AH22" s="39" t="inlineStr"/>
      <c r="AI22" s="40" t="inlineStr"/>
    </row>
    <row r="23">
      <c r="A23" s="37" t="n">
        <v>18</v>
      </c>
      <c r="B23" s="31">
        <f>IF(INDEX(Klassenliste!$B$6:$B$40,18)=0,"",INDEX(Klassenliste!$B$6:$B$40,18))</f>
        <v/>
      </c>
      <c r="C23" s="31">
        <f>IF(INDEX(Klassenliste!$C$6:$C$40,18)=0,"",INDEX(Klassenliste!$C$6:$C$40,18))</f>
        <v/>
      </c>
      <c r="D23" s="19">
        <f>IF($B23="","",COUNTIF(F23:AI23,"e")+COUNTIF(F23:AI23,"u"))</f>
        <v/>
      </c>
      <c r="E23" s="38">
        <f>IF($B23="","",COUNTIF(F23:AI23,"u"))</f>
        <v/>
      </c>
      <c r="F23" s="39" t="inlineStr"/>
      <c r="G23" s="39" t="inlineStr"/>
      <c r="H23" s="39" t="inlineStr"/>
      <c r="I23" s="39" t="inlineStr"/>
      <c r="J23" s="40" t="inlineStr"/>
      <c r="K23" s="39" t="inlineStr"/>
      <c r="L23" s="39" t="inlineStr"/>
      <c r="M23" s="39" t="inlineStr"/>
      <c r="N23" s="39" t="inlineStr"/>
      <c r="O23" s="40" t="inlineStr"/>
      <c r="P23" s="39" t="inlineStr"/>
      <c r="Q23" s="39" t="inlineStr"/>
      <c r="R23" s="39" t="inlineStr"/>
      <c r="S23" s="39" t="inlineStr"/>
      <c r="T23" s="40" t="inlineStr"/>
      <c r="U23" s="39" t="inlineStr"/>
      <c r="V23" s="39" t="inlineStr"/>
      <c r="W23" s="39" t="inlineStr"/>
      <c r="X23" s="39" t="inlineStr"/>
      <c r="Y23" s="40" t="inlineStr"/>
      <c r="Z23" s="39" t="inlineStr"/>
      <c r="AA23" s="39" t="inlineStr"/>
      <c r="AB23" s="39" t="inlineStr"/>
      <c r="AC23" s="39" t="inlineStr"/>
      <c r="AD23" s="40" t="inlineStr"/>
      <c r="AE23" s="39" t="inlineStr"/>
      <c r="AF23" s="39" t="inlineStr"/>
      <c r="AG23" s="39" t="inlineStr"/>
      <c r="AH23" s="39" t="inlineStr"/>
      <c r="AI23" s="40" t="inlineStr"/>
    </row>
    <row r="24">
      <c r="A24" s="37" t="n">
        <v>19</v>
      </c>
      <c r="B24" s="31">
        <f>IF(INDEX(Klassenliste!$B$6:$B$40,19)=0,"",INDEX(Klassenliste!$B$6:$B$40,19))</f>
        <v/>
      </c>
      <c r="C24" s="31">
        <f>IF(INDEX(Klassenliste!$C$6:$C$40,19)=0,"",INDEX(Klassenliste!$C$6:$C$40,19))</f>
        <v/>
      </c>
      <c r="D24" s="19">
        <f>IF($B24="","",COUNTIF(F24:AI24,"e")+COUNTIF(F24:AI24,"u"))</f>
        <v/>
      </c>
      <c r="E24" s="38">
        <f>IF($B24="","",COUNTIF(F24:AI24,"u"))</f>
        <v/>
      </c>
      <c r="F24" s="39" t="inlineStr"/>
      <c r="G24" s="39" t="inlineStr"/>
      <c r="H24" s="39" t="inlineStr"/>
      <c r="I24" s="39" t="inlineStr"/>
      <c r="J24" s="40" t="inlineStr"/>
      <c r="K24" s="39" t="inlineStr"/>
      <c r="L24" s="39" t="inlineStr"/>
      <c r="M24" s="39" t="inlineStr"/>
      <c r="N24" s="39" t="inlineStr"/>
      <c r="O24" s="40" t="inlineStr"/>
      <c r="P24" s="39" t="inlineStr"/>
      <c r="Q24" s="39" t="inlineStr"/>
      <c r="R24" s="39" t="inlineStr"/>
      <c r="S24" s="39" t="inlineStr"/>
      <c r="T24" s="40" t="inlineStr"/>
      <c r="U24" s="39" t="inlineStr"/>
      <c r="V24" s="39" t="inlineStr"/>
      <c r="W24" s="39" t="inlineStr"/>
      <c r="X24" s="39" t="inlineStr"/>
      <c r="Y24" s="40" t="inlineStr"/>
      <c r="Z24" s="39" t="inlineStr"/>
      <c r="AA24" s="39" t="inlineStr"/>
      <c r="AB24" s="39" t="inlineStr"/>
      <c r="AC24" s="39" t="inlineStr"/>
      <c r="AD24" s="40" t="inlineStr"/>
      <c r="AE24" s="39" t="inlineStr"/>
      <c r="AF24" s="39" t="inlineStr"/>
      <c r="AG24" s="39" t="inlineStr"/>
      <c r="AH24" s="39" t="inlineStr"/>
      <c r="AI24" s="40" t="inlineStr"/>
    </row>
    <row r="25">
      <c r="A25" s="37" t="n">
        <v>20</v>
      </c>
      <c r="B25" s="31">
        <f>IF(INDEX(Klassenliste!$B$6:$B$40,20)=0,"",INDEX(Klassenliste!$B$6:$B$40,20))</f>
        <v/>
      </c>
      <c r="C25" s="31">
        <f>IF(INDEX(Klassenliste!$C$6:$C$40,20)=0,"",INDEX(Klassenliste!$C$6:$C$40,20))</f>
        <v/>
      </c>
      <c r="D25" s="19">
        <f>IF($B25="","",COUNTIF(F25:AI25,"e")+COUNTIF(F25:AI25,"u"))</f>
        <v/>
      </c>
      <c r="E25" s="38">
        <f>IF($B25="","",COUNTIF(F25:AI25,"u"))</f>
        <v/>
      </c>
      <c r="F25" s="39" t="inlineStr"/>
      <c r="G25" s="39" t="inlineStr"/>
      <c r="H25" s="39" t="inlineStr"/>
      <c r="I25" s="39" t="inlineStr"/>
      <c r="J25" s="40" t="inlineStr"/>
      <c r="K25" s="39" t="inlineStr"/>
      <c r="L25" s="39" t="inlineStr"/>
      <c r="M25" s="39" t="inlineStr"/>
      <c r="N25" s="39" t="inlineStr"/>
      <c r="O25" s="40" t="inlineStr"/>
      <c r="P25" s="39" t="inlineStr"/>
      <c r="Q25" s="39" t="inlineStr"/>
      <c r="R25" s="39" t="inlineStr"/>
      <c r="S25" s="39" t="inlineStr"/>
      <c r="T25" s="40" t="inlineStr"/>
      <c r="U25" s="39" t="inlineStr"/>
      <c r="V25" s="39" t="inlineStr"/>
      <c r="W25" s="39" t="inlineStr"/>
      <c r="X25" s="39" t="inlineStr"/>
      <c r="Y25" s="40" t="inlineStr"/>
      <c r="Z25" s="39" t="inlineStr"/>
      <c r="AA25" s="39" t="inlineStr"/>
      <c r="AB25" s="39" t="inlineStr"/>
      <c r="AC25" s="39" t="inlineStr"/>
      <c r="AD25" s="40" t="inlineStr"/>
      <c r="AE25" s="39" t="inlineStr"/>
      <c r="AF25" s="39" t="inlineStr"/>
      <c r="AG25" s="39" t="inlineStr"/>
      <c r="AH25" s="39" t="inlineStr"/>
      <c r="AI25" s="40" t="inlineStr"/>
    </row>
    <row r="26">
      <c r="A26" s="37" t="n">
        <v>21</v>
      </c>
      <c r="B26" s="31">
        <f>IF(INDEX(Klassenliste!$B$6:$B$40,21)=0,"",INDEX(Klassenliste!$B$6:$B$40,21))</f>
        <v/>
      </c>
      <c r="C26" s="31">
        <f>IF(INDEX(Klassenliste!$C$6:$C$40,21)=0,"",INDEX(Klassenliste!$C$6:$C$40,21))</f>
        <v/>
      </c>
      <c r="D26" s="19">
        <f>IF($B26="","",COUNTIF(F26:AI26,"e")+COUNTIF(F26:AI26,"u"))</f>
        <v/>
      </c>
      <c r="E26" s="38">
        <f>IF($B26="","",COUNTIF(F26:AI26,"u"))</f>
        <v/>
      </c>
      <c r="F26" s="39" t="inlineStr"/>
      <c r="G26" s="39" t="inlineStr"/>
      <c r="H26" s="39" t="inlineStr"/>
      <c r="I26" s="39" t="inlineStr"/>
      <c r="J26" s="40" t="inlineStr"/>
      <c r="K26" s="39" t="inlineStr"/>
      <c r="L26" s="39" t="inlineStr"/>
      <c r="M26" s="39" t="inlineStr"/>
      <c r="N26" s="39" t="inlineStr"/>
      <c r="O26" s="40" t="inlineStr"/>
      <c r="P26" s="39" t="inlineStr"/>
      <c r="Q26" s="39" t="inlineStr"/>
      <c r="R26" s="39" t="inlineStr"/>
      <c r="S26" s="39" t="inlineStr"/>
      <c r="T26" s="40" t="inlineStr"/>
      <c r="U26" s="39" t="inlineStr"/>
      <c r="V26" s="39" t="inlineStr"/>
      <c r="W26" s="39" t="inlineStr"/>
      <c r="X26" s="39" t="inlineStr"/>
      <c r="Y26" s="40" t="inlineStr"/>
      <c r="Z26" s="39" t="inlineStr"/>
      <c r="AA26" s="39" t="inlineStr"/>
      <c r="AB26" s="39" t="inlineStr"/>
      <c r="AC26" s="39" t="inlineStr"/>
      <c r="AD26" s="40" t="inlineStr"/>
      <c r="AE26" s="39" t="inlineStr"/>
      <c r="AF26" s="39" t="inlineStr"/>
      <c r="AG26" s="39" t="inlineStr"/>
      <c r="AH26" s="39" t="inlineStr"/>
      <c r="AI26" s="40" t="inlineStr"/>
    </row>
    <row r="27">
      <c r="A27" s="37" t="n">
        <v>22</v>
      </c>
      <c r="B27" s="31">
        <f>IF(INDEX(Klassenliste!$B$6:$B$40,22)=0,"",INDEX(Klassenliste!$B$6:$B$40,22))</f>
        <v/>
      </c>
      <c r="C27" s="31">
        <f>IF(INDEX(Klassenliste!$C$6:$C$40,22)=0,"",INDEX(Klassenliste!$C$6:$C$40,22))</f>
        <v/>
      </c>
      <c r="D27" s="19">
        <f>IF($B27="","",COUNTIF(F27:AI27,"e")+COUNTIF(F27:AI27,"u"))</f>
        <v/>
      </c>
      <c r="E27" s="38">
        <f>IF($B27="","",COUNTIF(F27:AI27,"u"))</f>
        <v/>
      </c>
      <c r="F27" s="39" t="inlineStr"/>
      <c r="G27" s="39" t="inlineStr"/>
      <c r="H27" s="39" t="inlineStr"/>
      <c r="I27" s="39" t="inlineStr"/>
      <c r="J27" s="40" t="inlineStr"/>
      <c r="K27" s="39" t="inlineStr"/>
      <c r="L27" s="39" t="inlineStr"/>
      <c r="M27" s="39" t="inlineStr"/>
      <c r="N27" s="39" t="inlineStr"/>
      <c r="O27" s="40" t="inlineStr"/>
      <c r="P27" s="39" t="inlineStr"/>
      <c r="Q27" s="39" t="inlineStr"/>
      <c r="R27" s="39" t="inlineStr"/>
      <c r="S27" s="39" t="inlineStr"/>
      <c r="T27" s="40" t="inlineStr"/>
      <c r="U27" s="39" t="inlineStr"/>
      <c r="V27" s="39" t="inlineStr"/>
      <c r="W27" s="39" t="inlineStr"/>
      <c r="X27" s="39" t="inlineStr"/>
      <c r="Y27" s="40" t="inlineStr"/>
      <c r="Z27" s="39" t="inlineStr"/>
      <c r="AA27" s="39" t="inlineStr"/>
      <c r="AB27" s="39" t="inlineStr"/>
      <c r="AC27" s="39" t="inlineStr"/>
      <c r="AD27" s="40" t="inlineStr"/>
      <c r="AE27" s="39" t="inlineStr"/>
      <c r="AF27" s="39" t="inlineStr"/>
      <c r="AG27" s="39" t="inlineStr"/>
      <c r="AH27" s="39" t="inlineStr"/>
      <c r="AI27" s="40" t="inlineStr"/>
    </row>
    <row r="28">
      <c r="A28" s="37" t="n">
        <v>23</v>
      </c>
      <c r="B28" s="31">
        <f>IF(INDEX(Klassenliste!$B$6:$B$40,23)=0,"",INDEX(Klassenliste!$B$6:$B$40,23))</f>
        <v/>
      </c>
      <c r="C28" s="31">
        <f>IF(INDEX(Klassenliste!$C$6:$C$40,23)=0,"",INDEX(Klassenliste!$C$6:$C$40,23))</f>
        <v/>
      </c>
      <c r="D28" s="19">
        <f>IF($B28="","",COUNTIF(F28:AI28,"e")+COUNTIF(F28:AI28,"u"))</f>
        <v/>
      </c>
      <c r="E28" s="38">
        <f>IF($B28="","",COUNTIF(F28:AI28,"u"))</f>
        <v/>
      </c>
      <c r="F28" s="39" t="inlineStr"/>
      <c r="G28" s="39" t="inlineStr"/>
      <c r="H28" s="39" t="inlineStr"/>
      <c r="I28" s="39" t="inlineStr"/>
      <c r="J28" s="40" t="inlineStr"/>
      <c r="K28" s="39" t="inlineStr"/>
      <c r="L28" s="39" t="inlineStr"/>
      <c r="M28" s="39" t="inlineStr"/>
      <c r="N28" s="39" t="inlineStr"/>
      <c r="O28" s="40" t="inlineStr"/>
      <c r="P28" s="39" t="inlineStr"/>
      <c r="Q28" s="39" t="inlineStr"/>
      <c r="R28" s="39" t="inlineStr"/>
      <c r="S28" s="39" t="inlineStr"/>
      <c r="T28" s="40" t="inlineStr"/>
      <c r="U28" s="39" t="inlineStr"/>
      <c r="V28" s="39" t="inlineStr"/>
      <c r="W28" s="39" t="inlineStr"/>
      <c r="X28" s="39" t="inlineStr"/>
      <c r="Y28" s="40" t="inlineStr"/>
      <c r="Z28" s="39" t="inlineStr"/>
      <c r="AA28" s="39" t="inlineStr"/>
      <c r="AB28" s="39" t="inlineStr"/>
      <c r="AC28" s="39" t="inlineStr"/>
      <c r="AD28" s="40" t="inlineStr"/>
      <c r="AE28" s="39" t="inlineStr"/>
      <c r="AF28" s="39" t="inlineStr"/>
      <c r="AG28" s="39" t="inlineStr"/>
      <c r="AH28" s="39" t="inlineStr"/>
      <c r="AI28" s="40" t="inlineStr"/>
    </row>
    <row r="29">
      <c r="A29" s="37" t="n">
        <v>24</v>
      </c>
      <c r="B29" s="31">
        <f>IF(INDEX(Klassenliste!$B$6:$B$40,24)=0,"",INDEX(Klassenliste!$B$6:$B$40,24))</f>
        <v/>
      </c>
      <c r="C29" s="31">
        <f>IF(INDEX(Klassenliste!$C$6:$C$40,24)=0,"",INDEX(Klassenliste!$C$6:$C$40,24))</f>
        <v/>
      </c>
      <c r="D29" s="19">
        <f>IF($B29="","",COUNTIF(F29:AI29,"e")+COUNTIF(F29:AI29,"u"))</f>
        <v/>
      </c>
      <c r="E29" s="38">
        <f>IF($B29="","",COUNTIF(F29:AI29,"u"))</f>
        <v/>
      </c>
      <c r="F29" s="39" t="inlineStr"/>
      <c r="G29" s="39" t="inlineStr"/>
      <c r="H29" s="39" t="inlineStr"/>
      <c r="I29" s="39" t="inlineStr"/>
      <c r="J29" s="40" t="inlineStr"/>
      <c r="K29" s="39" t="inlineStr"/>
      <c r="L29" s="39" t="inlineStr"/>
      <c r="M29" s="39" t="inlineStr"/>
      <c r="N29" s="39" t="inlineStr"/>
      <c r="O29" s="40" t="inlineStr"/>
      <c r="P29" s="39" t="inlineStr"/>
      <c r="Q29" s="39" t="inlineStr"/>
      <c r="R29" s="39" t="inlineStr"/>
      <c r="S29" s="39" t="inlineStr"/>
      <c r="T29" s="40" t="inlineStr"/>
      <c r="U29" s="39" t="inlineStr"/>
      <c r="V29" s="39" t="inlineStr"/>
      <c r="W29" s="39" t="inlineStr"/>
      <c r="X29" s="39" t="inlineStr"/>
      <c r="Y29" s="40" t="inlineStr"/>
      <c r="Z29" s="39" t="inlineStr"/>
      <c r="AA29" s="39" t="inlineStr"/>
      <c r="AB29" s="39" t="inlineStr"/>
      <c r="AC29" s="39" t="inlineStr"/>
      <c r="AD29" s="40" t="inlineStr"/>
      <c r="AE29" s="39" t="inlineStr"/>
      <c r="AF29" s="39" t="inlineStr"/>
      <c r="AG29" s="39" t="inlineStr"/>
      <c r="AH29" s="39" t="inlineStr"/>
      <c r="AI29" s="40" t="inlineStr"/>
    </row>
    <row r="30">
      <c r="A30" s="37" t="n">
        <v>25</v>
      </c>
      <c r="B30" s="31">
        <f>IF(INDEX(Klassenliste!$B$6:$B$40,25)=0,"",INDEX(Klassenliste!$B$6:$B$40,25))</f>
        <v/>
      </c>
      <c r="C30" s="31">
        <f>IF(INDEX(Klassenliste!$C$6:$C$40,25)=0,"",INDEX(Klassenliste!$C$6:$C$40,25))</f>
        <v/>
      </c>
      <c r="D30" s="19">
        <f>IF($B30="","",COUNTIF(F30:AI30,"e")+COUNTIF(F30:AI30,"u"))</f>
        <v/>
      </c>
      <c r="E30" s="38">
        <f>IF($B30="","",COUNTIF(F30:AI30,"u"))</f>
        <v/>
      </c>
      <c r="F30" s="39" t="inlineStr"/>
      <c r="G30" s="39" t="inlineStr"/>
      <c r="H30" s="39" t="inlineStr"/>
      <c r="I30" s="39" t="inlineStr"/>
      <c r="J30" s="40" t="inlineStr"/>
      <c r="K30" s="39" t="inlineStr"/>
      <c r="L30" s="39" t="inlineStr"/>
      <c r="M30" s="39" t="inlineStr"/>
      <c r="N30" s="39" t="inlineStr"/>
      <c r="O30" s="40" t="inlineStr"/>
      <c r="P30" s="39" t="inlineStr"/>
      <c r="Q30" s="39" t="inlineStr"/>
      <c r="R30" s="39" t="inlineStr"/>
      <c r="S30" s="39" t="inlineStr"/>
      <c r="T30" s="40" t="inlineStr"/>
      <c r="U30" s="39" t="inlineStr"/>
      <c r="V30" s="39" t="inlineStr"/>
      <c r="W30" s="39" t="inlineStr"/>
      <c r="X30" s="39" t="inlineStr"/>
      <c r="Y30" s="40" t="inlineStr"/>
      <c r="Z30" s="39" t="inlineStr"/>
      <c r="AA30" s="39" t="inlineStr"/>
      <c r="AB30" s="39" t="inlineStr"/>
      <c r="AC30" s="39" t="inlineStr"/>
      <c r="AD30" s="40" t="inlineStr"/>
      <c r="AE30" s="39" t="inlineStr"/>
      <c r="AF30" s="39" t="inlineStr"/>
      <c r="AG30" s="39" t="inlineStr"/>
      <c r="AH30" s="39" t="inlineStr"/>
      <c r="AI30" s="40" t="inlineStr"/>
    </row>
    <row r="31">
      <c r="A31" s="37" t="n">
        <v>26</v>
      </c>
      <c r="B31" s="31">
        <f>IF(INDEX(Klassenliste!$B$6:$B$40,26)=0,"",INDEX(Klassenliste!$B$6:$B$40,26))</f>
        <v/>
      </c>
      <c r="C31" s="31">
        <f>IF(INDEX(Klassenliste!$C$6:$C$40,26)=0,"",INDEX(Klassenliste!$C$6:$C$40,26))</f>
        <v/>
      </c>
      <c r="D31" s="19">
        <f>IF($B31="","",COUNTIF(F31:AI31,"e")+COUNTIF(F31:AI31,"u"))</f>
        <v/>
      </c>
      <c r="E31" s="38">
        <f>IF($B31="","",COUNTIF(F31:AI31,"u"))</f>
        <v/>
      </c>
      <c r="F31" s="39" t="inlineStr"/>
      <c r="G31" s="39" t="inlineStr"/>
      <c r="H31" s="39" t="inlineStr"/>
      <c r="I31" s="39" t="inlineStr"/>
      <c r="J31" s="40" t="inlineStr"/>
      <c r="K31" s="39" t="inlineStr"/>
      <c r="L31" s="39" t="inlineStr"/>
      <c r="M31" s="39" t="inlineStr"/>
      <c r="N31" s="39" t="inlineStr"/>
      <c r="O31" s="40" t="inlineStr"/>
      <c r="P31" s="39" t="inlineStr"/>
      <c r="Q31" s="39" t="inlineStr"/>
      <c r="R31" s="39" t="inlineStr"/>
      <c r="S31" s="39" t="inlineStr"/>
      <c r="T31" s="40" t="inlineStr"/>
      <c r="U31" s="39" t="inlineStr"/>
      <c r="V31" s="39" t="inlineStr"/>
      <c r="W31" s="39" t="inlineStr"/>
      <c r="X31" s="39" t="inlineStr"/>
      <c r="Y31" s="40" t="inlineStr"/>
      <c r="Z31" s="39" t="inlineStr"/>
      <c r="AA31" s="39" t="inlineStr"/>
      <c r="AB31" s="39" t="inlineStr"/>
      <c r="AC31" s="39" t="inlineStr"/>
      <c r="AD31" s="40" t="inlineStr"/>
      <c r="AE31" s="39" t="inlineStr"/>
      <c r="AF31" s="39" t="inlineStr"/>
      <c r="AG31" s="39" t="inlineStr"/>
      <c r="AH31" s="39" t="inlineStr"/>
      <c r="AI31" s="40" t="inlineStr"/>
    </row>
    <row r="32">
      <c r="A32" s="37" t="n">
        <v>27</v>
      </c>
      <c r="B32" s="31">
        <f>IF(INDEX(Klassenliste!$B$6:$B$40,27)=0,"",INDEX(Klassenliste!$B$6:$B$40,27))</f>
        <v/>
      </c>
      <c r="C32" s="31">
        <f>IF(INDEX(Klassenliste!$C$6:$C$40,27)=0,"",INDEX(Klassenliste!$C$6:$C$40,27))</f>
        <v/>
      </c>
      <c r="D32" s="19">
        <f>IF($B32="","",COUNTIF(F32:AI32,"e")+COUNTIF(F32:AI32,"u"))</f>
        <v/>
      </c>
      <c r="E32" s="38">
        <f>IF($B32="","",COUNTIF(F32:AI32,"u"))</f>
        <v/>
      </c>
      <c r="F32" s="39" t="inlineStr"/>
      <c r="G32" s="39" t="inlineStr"/>
      <c r="H32" s="39" t="inlineStr"/>
      <c r="I32" s="39" t="inlineStr"/>
      <c r="J32" s="40" t="inlineStr"/>
      <c r="K32" s="39" t="inlineStr"/>
      <c r="L32" s="39" t="inlineStr"/>
      <c r="M32" s="39" t="inlineStr"/>
      <c r="N32" s="39" t="inlineStr"/>
      <c r="O32" s="40" t="inlineStr"/>
      <c r="P32" s="39" t="inlineStr"/>
      <c r="Q32" s="39" t="inlineStr"/>
      <c r="R32" s="39" t="inlineStr"/>
      <c r="S32" s="39" t="inlineStr"/>
      <c r="T32" s="40" t="inlineStr"/>
      <c r="U32" s="39" t="inlineStr"/>
      <c r="V32" s="39" t="inlineStr"/>
      <c r="W32" s="39" t="inlineStr"/>
      <c r="X32" s="39" t="inlineStr"/>
      <c r="Y32" s="40" t="inlineStr"/>
      <c r="Z32" s="39" t="inlineStr"/>
      <c r="AA32" s="39" t="inlineStr"/>
      <c r="AB32" s="39" t="inlineStr"/>
      <c r="AC32" s="39" t="inlineStr"/>
      <c r="AD32" s="40" t="inlineStr"/>
      <c r="AE32" s="39" t="inlineStr"/>
      <c r="AF32" s="39" t="inlineStr"/>
      <c r="AG32" s="39" t="inlineStr"/>
      <c r="AH32" s="39" t="inlineStr"/>
      <c r="AI32" s="40" t="inlineStr"/>
    </row>
    <row r="33">
      <c r="A33" s="37" t="n">
        <v>28</v>
      </c>
      <c r="B33" s="31">
        <f>IF(INDEX(Klassenliste!$B$6:$B$40,28)=0,"",INDEX(Klassenliste!$B$6:$B$40,28))</f>
        <v/>
      </c>
      <c r="C33" s="31">
        <f>IF(INDEX(Klassenliste!$C$6:$C$40,28)=0,"",INDEX(Klassenliste!$C$6:$C$40,28))</f>
        <v/>
      </c>
      <c r="D33" s="19">
        <f>IF($B33="","",COUNTIF(F33:AI33,"e")+COUNTIF(F33:AI33,"u"))</f>
        <v/>
      </c>
      <c r="E33" s="38">
        <f>IF($B33="","",COUNTIF(F33:AI33,"u"))</f>
        <v/>
      </c>
      <c r="F33" s="39" t="inlineStr"/>
      <c r="G33" s="39" t="inlineStr"/>
      <c r="H33" s="39" t="inlineStr"/>
      <c r="I33" s="39" t="inlineStr"/>
      <c r="J33" s="40" t="inlineStr"/>
      <c r="K33" s="39" t="inlineStr"/>
      <c r="L33" s="39" t="inlineStr"/>
      <c r="M33" s="39" t="inlineStr"/>
      <c r="N33" s="39" t="inlineStr"/>
      <c r="O33" s="40" t="inlineStr"/>
      <c r="P33" s="39" t="inlineStr"/>
      <c r="Q33" s="39" t="inlineStr"/>
      <c r="R33" s="39" t="inlineStr"/>
      <c r="S33" s="39" t="inlineStr"/>
      <c r="T33" s="40" t="inlineStr"/>
      <c r="U33" s="39" t="inlineStr"/>
      <c r="V33" s="39" t="inlineStr"/>
      <c r="W33" s="39" t="inlineStr"/>
      <c r="X33" s="39" t="inlineStr"/>
      <c r="Y33" s="40" t="inlineStr"/>
      <c r="Z33" s="39" t="inlineStr"/>
      <c r="AA33" s="39" t="inlineStr"/>
      <c r="AB33" s="39" t="inlineStr"/>
      <c r="AC33" s="39" t="inlineStr"/>
      <c r="AD33" s="40" t="inlineStr"/>
      <c r="AE33" s="39" t="inlineStr"/>
      <c r="AF33" s="39" t="inlineStr"/>
      <c r="AG33" s="39" t="inlineStr"/>
      <c r="AH33" s="39" t="inlineStr"/>
      <c r="AI33" s="40" t="inlineStr"/>
    </row>
    <row r="34">
      <c r="A34" s="37" t="n">
        <v>29</v>
      </c>
      <c r="B34" s="31">
        <f>IF(INDEX(Klassenliste!$B$6:$B$40,29)=0,"",INDEX(Klassenliste!$B$6:$B$40,29))</f>
        <v/>
      </c>
      <c r="C34" s="31">
        <f>IF(INDEX(Klassenliste!$C$6:$C$40,29)=0,"",INDEX(Klassenliste!$C$6:$C$40,29))</f>
        <v/>
      </c>
      <c r="D34" s="19">
        <f>IF($B34="","",COUNTIF(F34:AI34,"e")+COUNTIF(F34:AI34,"u"))</f>
        <v/>
      </c>
      <c r="E34" s="38">
        <f>IF($B34="","",COUNTIF(F34:AI34,"u"))</f>
        <v/>
      </c>
      <c r="F34" s="39" t="inlineStr"/>
      <c r="G34" s="39" t="inlineStr"/>
      <c r="H34" s="39" t="inlineStr"/>
      <c r="I34" s="39" t="inlineStr"/>
      <c r="J34" s="40" t="inlineStr"/>
      <c r="K34" s="39" t="inlineStr"/>
      <c r="L34" s="39" t="inlineStr"/>
      <c r="M34" s="39" t="inlineStr"/>
      <c r="N34" s="39" t="inlineStr"/>
      <c r="O34" s="40" t="inlineStr"/>
      <c r="P34" s="39" t="inlineStr"/>
      <c r="Q34" s="39" t="inlineStr"/>
      <c r="R34" s="39" t="inlineStr"/>
      <c r="S34" s="39" t="inlineStr"/>
      <c r="T34" s="40" t="inlineStr"/>
      <c r="U34" s="39" t="inlineStr"/>
      <c r="V34" s="39" t="inlineStr"/>
      <c r="W34" s="39" t="inlineStr"/>
      <c r="X34" s="39" t="inlineStr"/>
      <c r="Y34" s="40" t="inlineStr"/>
      <c r="Z34" s="39" t="inlineStr"/>
      <c r="AA34" s="39" t="inlineStr"/>
      <c r="AB34" s="39" t="inlineStr"/>
      <c r="AC34" s="39" t="inlineStr"/>
      <c r="AD34" s="40" t="inlineStr"/>
      <c r="AE34" s="39" t="inlineStr"/>
      <c r="AF34" s="39" t="inlineStr"/>
      <c r="AG34" s="39" t="inlineStr"/>
      <c r="AH34" s="39" t="inlineStr"/>
      <c r="AI34" s="40" t="inlineStr"/>
    </row>
    <row r="35">
      <c r="A35" s="37" t="n">
        <v>30</v>
      </c>
      <c r="B35" s="31">
        <f>IF(INDEX(Klassenliste!$B$6:$B$40,30)=0,"",INDEX(Klassenliste!$B$6:$B$40,30))</f>
        <v/>
      </c>
      <c r="C35" s="31">
        <f>IF(INDEX(Klassenliste!$C$6:$C$40,30)=0,"",INDEX(Klassenliste!$C$6:$C$40,30))</f>
        <v/>
      </c>
      <c r="D35" s="19">
        <f>IF($B35="","",COUNTIF(F35:AI35,"e")+COUNTIF(F35:AI35,"u"))</f>
        <v/>
      </c>
      <c r="E35" s="38">
        <f>IF($B35="","",COUNTIF(F35:AI35,"u"))</f>
        <v/>
      </c>
      <c r="F35" s="39" t="inlineStr"/>
      <c r="G35" s="39" t="inlineStr"/>
      <c r="H35" s="39" t="inlineStr"/>
      <c r="I35" s="39" t="inlineStr"/>
      <c r="J35" s="40" t="inlineStr"/>
      <c r="K35" s="39" t="inlineStr"/>
      <c r="L35" s="39" t="inlineStr"/>
      <c r="M35" s="39" t="inlineStr"/>
      <c r="N35" s="39" t="inlineStr"/>
      <c r="O35" s="40" t="inlineStr"/>
      <c r="P35" s="39" t="inlineStr"/>
      <c r="Q35" s="39" t="inlineStr"/>
      <c r="R35" s="39" t="inlineStr"/>
      <c r="S35" s="39" t="inlineStr"/>
      <c r="T35" s="40" t="inlineStr"/>
      <c r="U35" s="39" t="inlineStr"/>
      <c r="V35" s="39" t="inlineStr"/>
      <c r="W35" s="39" t="inlineStr"/>
      <c r="X35" s="39" t="inlineStr"/>
      <c r="Y35" s="40" t="inlineStr"/>
      <c r="Z35" s="39" t="inlineStr"/>
      <c r="AA35" s="39" t="inlineStr"/>
      <c r="AB35" s="39" t="inlineStr"/>
      <c r="AC35" s="39" t="inlineStr"/>
      <c r="AD35" s="40" t="inlineStr"/>
      <c r="AE35" s="39" t="inlineStr"/>
      <c r="AF35" s="39" t="inlineStr"/>
      <c r="AG35" s="39" t="inlineStr"/>
      <c r="AH35" s="39" t="inlineStr"/>
      <c r="AI35" s="40" t="inlineStr"/>
    </row>
    <row r="36">
      <c r="A36" s="37" t="n">
        <v>31</v>
      </c>
      <c r="B36" s="31">
        <f>IF(INDEX(Klassenliste!$B$6:$B$40,31)=0,"",INDEX(Klassenliste!$B$6:$B$40,31))</f>
        <v/>
      </c>
      <c r="C36" s="31">
        <f>IF(INDEX(Klassenliste!$C$6:$C$40,31)=0,"",INDEX(Klassenliste!$C$6:$C$40,31))</f>
        <v/>
      </c>
      <c r="D36" s="19">
        <f>IF($B36="","",COUNTIF(F36:AI36,"e")+COUNTIF(F36:AI36,"u"))</f>
        <v/>
      </c>
      <c r="E36" s="38">
        <f>IF($B36="","",COUNTIF(F36:AI36,"u"))</f>
        <v/>
      </c>
      <c r="F36" s="39" t="inlineStr"/>
      <c r="G36" s="39" t="inlineStr"/>
      <c r="H36" s="39" t="inlineStr"/>
      <c r="I36" s="39" t="inlineStr"/>
      <c r="J36" s="40" t="inlineStr"/>
      <c r="K36" s="39" t="inlineStr"/>
      <c r="L36" s="39" t="inlineStr"/>
      <c r="M36" s="39" t="inlineStr"/>
      <c r="N36" s="39" t="inlineStr"/>
      <c r="O36" s="40" t="inlineStr"/>
      <c r="P36" s="39" t="inlineStr"/>
      <c r="Q36" s="39" t="inlineStr"/>
      <c r="R36" s="39" t="inlineStr"/>
      <c r="S36" s="39" t="inlineStr"/>
      <c r="T36" s="40" t="inlineStr"/>
      <c r="U36" s="39" t="inlineStr"/>
      <c r="V36" s="39" t="inlineStr"/>
      <c r="W36" s="39" t="inlineStr"/>
      <c r="X36" s="39" t="inlineStr"/>
      <c r="Y36" s="40" t="inlineStr"/>
      <c r="Z36" s="39" t="inlineStr"/>
      <c r="AA36" s="39" t="inlineStr"/>
      <c r="AB36" s="39" t="inlineStr"/>
      <c r="AC36" s="39" t="inlineStr"/>
      <c r="AD36" s="40" t="inlineStr"/>
      <c r="AE36" s="39" t="inlineStr"/>
      <c r="AF36" s="39" t="inlineStr"/>
      <c r="AG36" s="39" t="inlineStr"/>
      <c r="AH36" s="39" t="inlineStr"/>
      <c r="AI36" s="40" t="inlineStr"/>
    </row>
    <row r="37">
      <c r="A37" s="37" t="n">
        <v>32</v>
      </c>
      <c r="B37" s="31">
        <f>IF(INDEX(Klassenliste!$B$6:$B$40,32)=0,"",INDEX(Klassenliste!$B$6:$B$40,32))</f>
        <v/>
      </c>
      <c r="C37" s="31">
        <f>IF(INDEX(Klassenliste!$C$6:$C$40,32)=0,"",INDEX(Klassenliste!$C$6:$C$40,32))</f>
        <v/>
      </c>
      <c r="D37" s="19">
        <f>IF($B37="","",COUNTIF(F37:AI37,"e")+COUNTIF(F37:AI37,"u"))</f>
        <v/>
      </c>
      <c r="E37" s="38">
        <f>IF($B37="","",COUNTIF(F37:AI37,"u"))</f>
        <v/>
      </c>
      <c r="F37" s="39" t="inlineStr"/>
      <c r="G37" s="39" t="inlineStr"/>
      <c r="H37" s="39" t="inlineStr"/>
      <c r="I37" s="39" t="inlineStr"/>
      <c r="J37" s="40" t="inlineStr"/>
      <c r="K37" s="39" t="inlineStr"/>
      <c r="L37" s="39" t="inlineStr"/>
      <c r="M37" s="39" t="inlineStr"/>
      <c r="N37" s="39" t="inlineStr"/>
      <c r="O37" s="40" t="inlineStr"/>
      <c r="P37" s="39" t="inlineStr"/>
      <c r="Q37" s="39" t="inlineStr"/>
      <c r="R37" s="39" t="inlineStr"/>
      <c r="S37" s="39" t="inlineStr"/>
      <c r="T37" s="40" t="inlineStr"/>
      <c r="U37" s="39" t="inlineStr"/>
      <c r="V37" s="39" t="inlineStr"/>
      <c r="W37" s="39" t="inlineStr"/>
      <c r="X37" s="39" t="inlineStr"/>
      <c r="Y37" s="40" t="inlineStr"/>
      <c r="Z37" s="39" t="inlineStr"/>
      <c r="AA37" s="39" t="inlineStr"/>
      <c r="AB37" s="39" t="inlineStr"/>
      <c r="AC37" s="39" t="inlineStr"/>
      <c r="AD37" s="40" t="inlineStr"/>
      <c r="AE37" s="39" t="inlineStr"/>
      <c r="AF37" s="39" t="inlineStr"/>
      <c r="AG37" s="39" t="inlineStr"/>
      <c r="AH37" s="39" t="inlineStr"/>
      <c r="AI37" s="40" t="inlineStr"/>
    </row>
    <row r="38">
      <c r="A38" s="37" t="n">
        <v>33</v>
      </c>
      <c r="B38" s="31">
        <f>IF(INDEX(Klassenliste!$B$6:$B$40,33)=0,"",INDEX(Klassenliste!$B$6:$B$40,33))</f>
        <v/>
      </c>
      <c r="C38" s="31">
        <f>IF(INDEX(Klassenliste!$C$6:$C$40,33)=0,"",INDEX(Klassenliste!$C$6:$C$40,33))</f>
        <v/>
      </c>
      <c r="D38" s="19">
        <f>IF($B38="","",COUNTIF(F38:AI38,"e")+COUNTIF(F38:AI38,"u"))</f>
        <v/>
      </c>
      <c r="E38" s="38">
        <f>IF($B38="","",COUNTIF(F38:AI38,"u"))</f>
        <v/>
      </c>
      <c r="F38" s="39" t="inlineStr"/>
      <c r="G38" s="39" t="inlineStr"/>
      <c r="H38" s="39" t="inlineStr"/>
      <c r="I38" s="39" t="inlineStr"/>
      <c r="J38" s="40" t="inlineStr"/>
      <c r="K38" s="39" t="inlineStr"/>
      <c r="L38" s="39" t="inlineStr"/>
      <c r="M38" s="39" t="inlineStr"/>
      <c r="N38" s="39" t="inlineStr"/>
      <c r="O38" s="40" t="inlineStr"/>
      <c r="P38" s="39" t="inlineStr"/>
      <c r="Q38" s="39" t="inlineStr"/>
      <c r="R38" s="39" t="inlineStr"/>
      <c r="S38" s="39" t="inlineStr"/>
      <c r="T38" s="40" t="inlineStr"/>
      <c r="U38" s="39" t="inlineStr"/>
      <c r="V38" s="39" t="inlineStr"/>
      <c r="W38" s="39" t="inlineStr"/>
      <c r="X38" s="39" t="inlineStr"/>
      <c r="Y38" s="40" t="inlineStr"/>
      <c r="Z38" s="39" t="inlineStr"/>
      <c r="AA38" s="39" t="inlineStr"/>
      <c r="AB38" s="39" t="inlineStr"/>
      <c r="AC38" s="39" t="inlineStr"/>
      <c r="AD38" s="40" t="inlineStr"/>
      <c r="AE38" s="39" t="inlineStr"/>
      <c r="AF38" s="39" t="inlineStr"/>
      <c r="AG38" s="39" t="inlineStr"/>
      <c r="AH38" s="39" t="inlineStr"/>
      <c r="AI38" s="40" t="inlineStr"/>
    </row>
    <row r="39">
      <c r="A39" s="37" t="n">
        <v>34</v>
      </c>
      <c r="B39" s="31">
        <f>IF(INDEX(Klassenliste!$B$6:$B$40,34)=0,"",INDEX(Klassenliste!$B$6:$B$40,34))</f>
        <v/>
      </c>
      <c r="C39" s="31">
        <f>IF(INDEX(Klassenliste!$C$6:$C$40,34)=0,"",INDEX(Klassenliste!$C$6:$C$40,34))</f>
        <v/>
      </c>
      <c r="D39" s="19">
        <f>IF($B39="","",COUNTIF(F39:AI39,"e")+COUNTIF(F39:AI39,"u"))</f>
        <v/>
      </c>
      <c r="E39" s="38">
        <f>IF($B39="","",COUNTIF(F39:AI39,"u"))</f>
        <v/>
      </c>
      <c r="F39" s="39" t="inlineStr"/>
      <c r="G39" s="39" t="inlineStr"/>
      <c r="H39" s="39" t="inlineStr"/>
      <c r="I39" s="39" t="inlineStr"/>
      <c r="J39" s="40" t="inlineStr"/>
      <c r="K39" s="39" t="inlineStr"/>
      <c r="L39" s="39" t="inlineStr"/>
      <c r="M39" s="39" t="inlineStr"/>
      <c r="N39" s="39" t="inlineStr"/>
      <c r="O39" s="40" t="inlineStr"/>
      <c r="P39" s="39" t="inlineStr"/>
      <c r="Q39" s="39" t="inlineStr"/>
      <c r="R39" s="39" t="inlineStr"/>
      <c r="S39" s="39" t="inlineStr"/>
      <c r="T39" s="40" t="inlineStr"/>
      <c r="U39" s="39" t="inlineStr"/>
      <c r="V39" s="39" t="inlineStr"/>
      <c r="W39" s="39" t="inlineStr"/>
      <c r="X39" s="39" t="inlineStr"/>
      <c r="Y39" s="40" t="inlineStr"/>
      <c r="Z39" s="39" t="inlineStr"/>
      <c r="AA39" s="39" t="inlineStr"/>
      <c r="AB39" s="39" t="inlineStr"/>
      <c r="AC39" s="39" t="inlineStr"/>
      <c r="AD39" s="40" t="inlineStr"/>
      <c r="AE39" s="39" t="inlineStr"/>
      <c r="AF39" s="39" t="inlineStr"/>
      <c r="AG39" s="39" t="inlineStr"/>
      <c r="AH39" s="39" t="inlineStr"/>
      <c r="AI39" s="40" t="inlineStr"/>
    </row>
    <row r="40">
      <c r="A40" s="37" t="n">
        <v>35</v>
      </c>
      <c r="B40" s="31">
        <f>IF(INDEX(Klassenliste!$B$6:$B$40,35)=0,"",INDEX(Klassenliste!$B$6:$B$40,35))</f>
        <v/>
      </c>
      <c r="C40" s="31">
        <f>IF(INDEX(Klassenliste!$C$6:$C$40,35)=0,"",INDEX(Klassenliste!$C$6:$C$40,35))</f>
        <v/>
      </c>
      <c r="D40" s="19">
        <f>IF($B40="","",COUNTIF(F40:AI40,"e")+COUNTIF(F40:AI40,"u"))</f>
        <v/>
      </c>
      <c r="E40" s="38">
        <f>IF($B40="","",COUNTIF(F40:AI40,"u"))</f>
        <v/>
      </c>
      <c r="F40" s="39" t="inlineStr"/>
      <c r="G40" s="39" t="inlineStr"/>
      <c r="H40" s="39" t="inlineStr"/>
      <c r="I40" s="39" t="inlineStr"/>
      <c r="J40" s="40" t="inlineStr"/>
      <c r="K40" s="39" t="inlineStr"/>
      <c r="L40" s="39" t="inlineStr"/>
      <c r="M40" s="39" t="inlineStr"/>
      <c r="N40" s="39" t="inlineStr"/>
      <c r="O40" s="40" t="inlineStr"/>
      <c r="P40" s="39" t="inlineStr"/>
      <c r="Q40" s="39" t="inlineStr"/>
      <c r="R40" s="39" t="inlineStr"/>
      <c r="S40" s="39" t="inlineStr"/>
      <c r="T40" s="40" t="inlineStr"/>
      <c r="U40" s="39" t="inlineStr"/>
      <c r="V40" s="39" t="inlineStr"/>
      <c r="W40" s="39" t="inlineStr"/>
      <c r="X40" s="39" t="inlineStr"/>
      <c r="Y40" s="40" t="inlineStr"/>
      <c r="Z40" s="39" t="inlineStr"/>
      <c r="AA40" s="39" t="inlineStr"/>
      <c r="AB40" s="39" t="inlineStr"/>
      <c r="AC40" s="39" t="inlineStr"/>
      <c r="AD40" s="40" t="inlineStr"/>
      <c r="AE40" s="39" t="inlineStr"/>
      <c r="AF40" s="39" t="inlineStr"/>
      <c r="AG40" s="39" t="inlineStr"/>
      <c r="AH40" s="39" t="inlineStr"/>
      <c r="AI40" s="40" t="inlineStr"/>
    </row>
  </sheetData>
  <sheetProtection selectLockedCells="0" selectUnlockedCells="0" sheet="1" objects="0" insertRows="1" insertHyperlinks="1" autoFilter="1" scenarios="0" formatColumns="0" deleteColumns="1" insertColumns="0" pivotTables="1" deleteRows="1" formatCells="1" formatRows="0" sort="1"/>
  <mergeCells count="1">
    <mergeCell ref="A1:AH1"/>
  </mergeCells>
  <conditionalFormatting sqref="A6:AI40">
    <cfRule type="expression" priority="1" dxfId="1" stopIfTrue="1">
      <formula>$B6=""</formula>
    </cfRule>
  </conditionalFormatting>
  <conditionalFormatting sqref="F4:AI4">
    <cfRule type="expression" priority="2" dxfId="4">
      <formula>F$4=TODAY()</formula>
    </cfRule>
  </conditionalFormatting>
  <conditionalFormatting sqref="E6:E40">
    <cfRule type="expression" priority="3" dxfId="2">
      <formula>AND(ISNUMBER(E6),E6&gt;0)</formula>
    </cfRule>
  </conditionalFormatting>
  <dataValidations count="1">
    <dataValidation sqref="F6:AI40" showDropDown="0" showInputMessage="0" showErrorMessage="0" allowBlank="1" type="list">
      <formula1>"e,u"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tabColor rgb="00A8C0CC"/>
    <outlinePr summaryBelow="1" summaryRight="1"/>
    <pageSetUpPr fitToPage="1"/>
  </sheetPr>
  <dimension ref="A1:AJ40"/>
  <sheetViews>
    <sheetView showGridLines="0" zoomScale="10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5" customWidth="1" min="4" max="4"/>
    <col width="5" customWidth="1" min="5" max="5"/>
    <col width="5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6.2" customWidth="1" min="32" max="32"/>
    <col width="6.2" customWidth="1" min="33" max="33"/>
    <col width="6.2" customWidth="1" min="34" max="34"/>
    <col width="6.2" customWidth="1" min="35" max="35"/>
    <col width="6.2" customWidth="1" min="36" max="36"/>
  </cols>
  <sheetData>
    <row r="1" ht="26" customHeight="1">
      <c r="A1" s="1" t="inlineStr">
        <is>
          <t>Material &amp; Lernzeit 1. Halbjahr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8">
        <f>HYPERLINK("#Start!A1","⌂")</f>
        <v/>
      </c>
    </row>
    <row r="2" ht="14" customHeight="1">
      <c r="B2" s="12" t="inlineStr">
        <is>
          <t>M = Material vergessen · L = Lernzeit/HA fehlt · i = iPad fehlt/ungeladen — kombinierbar (z. B. MLi) · mehrere Schüler: Zellen markieren, Kürzel tippen, Strg+Enter</t>
        </is>
      </c>
    </row>
    <row r="4" ht="15" customHeight="1">
      <c r="F4" s="32" t="inlineStr">
        <is>
          <t>Datum →</t>
        </is>
      </c>
      <c r="G4" s="33" t="inlineStr"/>
      <c r="H4" s="33" t="inlineStr"/>
      <c r="I4" s="33" t="inlineStr"/>
      <c r="J4" s="33" t="inlineStr"/>
      <c r="K4" s="34" t="inlineStr"/>
      <c r="L4" s="33" t="inlineStr"/>
      <c r="M4" s="33" t="inlineStr"/>
      <c r="N4" s="33" t="inlineStr"/>
      <c r="O4" s="33" t="inlineStr"/>
      <c r="P4" s="34" t="inlineStr"/>
      <c r="Q4" s="33" t="inlineStr"/>
      <c r="R4" s="33" t="inlineStr"/>
      <c r="S4" s="33" t="inlineStr"/>
      <c r="T4" s="33" t="inlineStr"/>
      <c r="U4" s="34" t="inlineStr"/>
      <c r="V4" s="33" t="inlineStr"/>
      <c r="W4" s="33" t="inlineStr"/>
      <c r="X4" s="33" t="inlineStr"/>
      <c r="Y4" s="33" t="inlineStr"/>
      <c r="Z4" s="34" t="inlineStr"/>
      <c r="AA4" s="33" t="inlineStr"/>
      <c r="AB4" s="33" t="inlineStr"/>
      <c r="AC4" s="33" t="inlineStr"/>
      <c r="AD4" s="33" t="inlineStr"/>
      <c r="AE4" s="34" t="inlineStr"/>
      <c r="AF4" s="33" t="inlineStr"/>
      <c r="AG4" s="33" t="inlineStr"/>
      <c r="AH4" s="33" t="inlineStr"/>
      <c r="AI4" s="33" t="inlineStr"/>
      <c r="AJ4" s="34" t="inlineStr"/>
    </row>
    <row r="5" ht="18" customHeight="1">
      <c r="A5" s="17" t="inlineStr">
        <is>
          <t>Nr</t>
        </is>
      </c>
      <c r="B5" s="18" t="inlineStr">
        <is>
          <t>Name</t>
        </is>
      </c>
      <c r="C5" s="18" t="inlineStr">
        <is>
          <t>Vorname</t>
        </is>
      </c>
      <c r="D5" s="17" t="inlineStr">
        <is>
          <t>M</t>
        </is>
      </c>
      <c r="E5" s="17" t="inlineStr">
        <is>
          <t>L</t>
        </is>
      </c>
      <c r="F5" s="35" t="inlineStr">
        <is>
          <t>iP</t>
        </is>
      </c>
      <c r="K5" s="36" t="n"/>
      <c r="P5" s="36" t="n"/>
      <c r="U5" s="36" t="n"/>
      <c r="Z5" s="36" t="n"/>
      <c r="AE5" s="36" t="n"/>
      <c r="AJ5" s="36" t="n"/>
    </row>
    <row r="6">
      <c r="A6" s="37" t="n">
        <v>1</v>
      </c>
      <c r="B6" s="31">
        <f>IF(INDEX(Klassenliste!$B$6:$B$40,1)=0,"",INDEX(Klassenliste!$B$6:$B$40,1))</f>
        <v/>
      </c>
      <c r="C6" s="31">
        <f>IF(INDEX(Klassenliste!$C$6:$C$40,1)=0,"",INDEX(Klassenliste!$C$6:$C$40,1))</f>
        <v/>
      </c>
      <c r="D6" s="19">
        <f>IF($B6="","",COUNTIF(G6:AJ6,"*M*"))</f>
        <v/>
      </c>
      <c r="E6" s="19">
        <f>IF($B6="","",COUNTIF(G6:AJ6,"*L*"))</f>
        <v/>
      </c>
      <c r="F6" s="38">
        <f>IF($B6="","",COUNTIF(G6:AJ6,"*i*"))</f>
        <v/>
      </c>
      <c r="G6" s="39" t="inlineStr"/>
      <c r="H6" s="39" t="inlineStr"/>
      <c r="I6" s="39" t="inlineStr"/>
      <c r="J6" s="39" t="inlineStr"/>
      <c r="K6" s="40" t="inlineStr"/>
      <c r="L6" s="39" t="inlineStr"/>
      <c r="M6" s="39" t="inlineStr"/>
      <c r="N6" s="39" t="inlineStr"/>
      <c r="O6" s="39" t="inlineStr"/>
      <c r="P6" s="40" t="inlineStr"/>
      <c r="Q6" s="39" t="inlineStr"/>
      <c r="R6" s="39" t="inlineStr"/>
      <c r="S6" s="39" t="inlineStr"/>
      <c r="T6" s="39" t="inlineStr"/>
      <c r="U6" s="40" t="inlineStr"/>
      <c r="V6" s="39" t="inlineStr"/>
      <c r="W6" s="39" t="inlineStr"/>
      <c r="X6" s="39" t="inlineStr"/>
      <c r="Y6" s="39" t="inlineStr"/>
      <c r="Z6" s="40" t="inlineStr"/>
      <c r="AA6" s="39" t="inlineStr"/>
      <c r="AB6" s="39" t="inlineStr"/>
      <c r="AC6" s="39" t="inlineStr"/>
      <c r="AD6" s="39" t="inlineStr"/>
      <c r="AE6" s="40" t="inlineStr"/>
      <c r="AF6" s="39" t="inlineStr"/>
      <c r="AG6" s="39" t="inlineStr"/>
      <c r="AH6" s="39" t="inlineStr"/>
      <c r="AI6" s="39" t="inlineStr"/>
      <c r="AJ6" s="40" t="inlineStr"/>
    </row>
    <row r="7">
      <c r="A7" s="37" t="n">
        <v>2</v>
      </c>
      <c r="B7" s="31">
        <f>IF(INDEX(Klassenliste!$B$6:$B$40,2)=0,"",INDEX(Klassenliste!$B$6:$B$40,2))</f>
        <v/>
      </c>
      <c r="C7" s="31">
        <f>IF(INDEX(Klassenliste!$C$6:$C$40,2)=0,"",INDEX(Klassenliste!$C$6:$C$40,2))</f>
        <v/>
      </c>
      <c r="D7" s="19">
        <f>IF($B7="","",COUNTIF(G7:AJ7,"*M*"))</f>
        <v/>
      </c>
      <c r="E7" s="19">
        <f>IF($B7="","",COUNTIF(G7:AJ7,"*L*"))</f>
        <v/>
      </c>
      <c r="F7" s="38">
        <f>IF($B7="","",COUNTIF(G7:AJ7,"*i*"))</f>
        <v/>
      </c>
      <c r="G7" s="39" t="inlineStr"/>
      <c r="H7" s="39" t="inlineStr"/>
      <c r="I7" s="39" t="inlineStr"/>
      <c r="J7" s="39" t="inlineStr"/>
      <c r="K7" s="40" t="inlineStr"/>
      <c r="L7" s="39" t="inlineStr"/>
      <c r="M7" s="39" t="inlineStr"/>
      <c r="N7" s="39" t="inlineStr"/>
      <c r="O7" s="39" t="inlineStr"/>
      <c r="P7" s="40" t="inlineStr"/>
      <c r="Q7" s="39" t="inlineStr"/>
      <c r="R7" s="39" t="inlineStr"/>
      <c r="S7" s="39" t="inlineStr"/>
      <c r="T7" s="39" t="inlineStr"/>
      <c r="U7" s="40" t="inlineStr"/>
      <c r="V7" s="39" t="inlineStr"/>
      <c r="W7" s="39" t="inlineStr"/>
      <c r="X7" s="39" t="inlineStr"/>
      <c r="Y7" s="39" t="inlineStr"/>
      <c r="Z7" s="40" t="inlineStr"/>
      <c r="AA7" s="39" t="inlineStr"/>
      <c r="AB7" s="39" t="inlineStr"/>
      <c r="AC7" s="39" t="inlineStr"/>
      <c r="AD7" s="39" t="inlineStr"/>
      <c r="AE7" s="40" t="inlineStr"/>
      <c r="AF7" s="39" t="inlineStr"/>
      <c r="AG7" s="39" t="inlineStr"/>
      <c r="AH7" s="39" t="inlineStr"/>
      <c r="AI7" s="39" t="inlineStr"/>
      <c r="AJ7" s="40" t="inlineStr"/>
    </row>
    <row r="8">
      <c r="A8" s="37" t="n">
        <v>3</v>
      </c>
      <c r="B8" s="31">
        <f>IF(INDEX(Klassenliste!$B$6:$B$40,3)=0,"",INDEX(Klassenliste!$B$6:$B$40,3))</f>
        <v/>
      </c>
      <c r="C8" s="31">
        <f>IF(INDEX(Klassenliste!$C$6:$C$40,3)=0,"",INDEX(Klassenliste!$C$6:$C$40,3))</f>
        <v/>
      </c>
      <c r="D8" s="19">
        <f>IF($B8="","",COUNTIF(G8:AJ8,"*M*"))</f>
        <v/>
      </c>
      <c r="E8" s="19">
        <f>IF($B8="","",COUNTIF(G8:AJ8,"*L*"))</f>
        <v/>
      </c>
      <c r="F8" s="38">
        <f>IF($B8="","",COUNTIF(G8:AJ8,"*i*"))</f>
        <v/>
      </c>
      <c r="G8" s="39" t="inlineStr"/>
      <c r="H8" s="39" t="inlineStr"/>
      <c r="I8" s="39" t="inlineStr"/>
      <c r="J8" s="39" t="inlineStr"/>
      <c r="K8" s="40" t="inlineStr"/>
      <c r="L8" s="39" t="inlineStr"/>
      <c r="M8" s="39" t="inlineStr"/>
      <c r="N8" s="39" t="inlineStr"/>
      <c r="O8" s="39" t="inlineStr"/>
      <c r="P8" s="40" t="inlineStr"/>
      <c r="Q8" s="39" t="inlineStr"/>
      <c r="R8" s="39" t="inlineStr"/>
      <c r="S8" s="39" t="inlineStr"/>
      <c r="T8" s="39" t="inlineStr"/>
      <c r="U8" s="40" t="inlineStr"/>
      <c r="V8" s="39" t="inlineStr"/>
      <c r="W8" s="39" t="inlineStr"/>
      <c r="X8" s="39" t="inlineStr"/>
      <c r="Y8" s="39" t="inlineStr"/>
      <c r="Z8" s="40" t="inlineStr"/>
      <c r="AA8" s="39" t="inlineStr"/>
      <c r="AB8" s="39" t="inlineStr"/>
      <c r="AC8" s="39" t="inlineStr"/>
      <c r="AD8" s="39" t="inlineStr"/>
      <c r="AE8" s="40" t="inlineStr"/>
      <c r="AF8" s="39" t="inlineStr"/>
      <c r="AG8" s="39" t="inlineStr"/>
      <c r="AH8" s="39" t="inlineStr"/>
      <c r="AI8" s="39" t="inlineStr"/>
      <c r="AJ8" s="40" t="inlineStr"/>
    </row>
    <row r="9">
      <c r="A9" s="37" t="n">
        <v>4</v>
      </c>
      <c r="B9" s="31">
        <f>IF(INDEX(Klassenliste!$B$6:$B$40,4)=0,"",INDEX(Klassenliste!$B$6:$B$40,4))</f>
        <v/>
      </c>
      <c r="C9" s="31">
        <f>IF(INDEX(Klassenliste!$C$6:$C$40,4)=0,"",INDEX(Klassenliste!$C$6:$C$40,4))</f>
        <v/>
      </c>
      <c r="D9" s="19">
        <f>IF($B9="","",COUNTIF(G9:AJ9,"*M*"))</f>
        <v/>
      </c>
      <c r="E9" s="19">
        <f>IF($B9="","",COUNTIF(G9:AJ9,"*L*"))</f>
        <v/>
      </c>
      <c r="F9" s="38">
        <f>IF($B9="","",COUNTIF(G9:AJ9,"*i*"))</f>
        <v/>
      </c>
      <c r="G9" s="39" t="inlineStr"/>
      <c r="H9" s="39" t="inlineStr"/>
      <c r="I9" s="39" t="inlineStr"/>
      <c r="J9" s="39" t="inlineStr"/>
      <c r="K9" s="40" t="inlineStr"/>
      <c r="L9" s="39" t="inlineStr"/>
      <c r="M9" s="39" t="inlineStr"/>
      <c r="N9" s="39" t="inlineStr"/>
      <c r="O9" s="39" t="inlineStr"/>
      <c r="P9" s="40" t="inlineStr"/>
      <c r="Q9" s="39" t="inlineStr"/>
      <c r="R9" s="39" t="inlineStr"/>
      <c r="S9" s="39" t="inlineStr"/>
      <c r="T9" s="39" t="inlineStr"/>
      <c r="U9" s="40" t="inlineStr"/>
      <c r="V9" s="39" t="inlineStr"/>
      <c r="W9" s="39" t="inlineStr"/>
      <c r="X9" s="39" t="inlineStr"/>
      <c r="Y9" s="39" t="inlineStr"/>
      <c r="Z9" s="40" t="inlineStr"/>
      <c r="AA9" s="39" t="inlineStr"/>
      <c r="AB9" s="39" t="inlineStr"/>
      <c r="AC9" s="39" t="inlineStr"/>
      <c r="AD9" s="39" t="inlineStr"/>
      <c r="AE9" s="40" t="inlineStr"/>
      <c r="AF9" s="39" t="inlineStr"/>
      <c r="AG9" s="39" t="inlineStr"/>
      <c r="AH9" s="39" t="inlineStr"/>
      <c r="AI9" s="39" t="inlineStr"/>
      <c r="AJ9" s="40" t="inlineStr"/>
    </row>
    <row r="10">
      <c r="A10" s="37" t="n">
        <v>5</v>
      </c>
      <c r="B10" s="31">
        <f>IF(INDEX(Klassenliste!$B$6:$B$40,5)=0,"",INDEX(Klassenliste!$B$6:$B$40,5))</f>
        <v/>
      </c>
      <c r="C10" s="31">
        <f>IF(INDEX(Klassenliste!$C$6:$C$40,5)=0,"",INDEX(Klassenliste!$C$6:$C$40,5))</f>
        <v/>
      </c>
      <c r="D10" s="19">
        <f>IF($B10="","",COUNTIF(G10:AJ10,"*M*"))</f>
        <v/>
      </c>
      <c r="E10" s="19">
        <f>IF($B10="","",COUNTIF(G10:AJ10,"*L*"))</f>
        <v/>
      </c>
      <c r="F10" s="38">
        <f>IF($B10="","",COUNTIF(G10:AJ10,"*i*"))</f>
        <v/>
      </c>
      <c r="G10" s="39" t="inlineStr"/>
      <c r="H10" s="39" t="inlineStr"/>
      <c r="I10" s="39" t="inlineStr"/>
      <c r="J10" s="39" t="inlineStr"/>
      <c r="K10" s="40" t="inlineStr"/>
      <c r="L10" s="39" t="inlineStr"/>
      <c r="M10" s="39" t="inlineStr"/>
      <c r="N10" s="39" t="inlineStr"/>
      <c r="O10" s="39" t="inlineStr"/>
      <c r="P10" s="40" t="inlineStr"/>
      <c r="Q10" s="39" t="inlineStr"/>
      <c r="R10" s="39" t="inlineStr"/>
      <c r="S10" s="39" t="inlineStr"/>
      <c r="T10" s="39" t="inlineStr"/>
      <c r="U10" s="40" t="inlineStr"/>
      <c r="V10" s="39" t="inlineStr"/>
      <c r="W10" s="39" t="inlineStr"/>
      <c r="X10" s="39" t="inlineStr"/>
      <c r="Y10" s="39" t="inlineStr"/>
      <c r="Z10" s="40" t="inlineStr"/>
      <c r="AA10" s="39" t="inlineStr"/>
      <c r="AB10" s="39" t="inlineStr"/>
      <c r="AC10" s="39" t="inlineStr"/>
      <c r="AD10" s="39" t="inlineStr"/>
      <c r="AE10" s="40" t="inlineStr"/>
      <c r="AF10" s="39" t="inlineStr"/>
      <c r="AG10" s="39" t="inlineStr"/>
      <c r="AH10" s="39" t="inlineStr"/>
      <c r="AI10" s="39" t="inlineStr"/>
      <c r="AJ10" s="40" t="inlineStr"/>
    </row>
    <row r="11">
      <c r="A11" s="37" t="n">
        <v>6</v>
      </c>
      <c r="B11" s="31">
        <f>IF(INDEX(Klassenliste!$B$6:$B$40,6)=0,"",INDEX(Klassenliste!$B$6:$B$40,6))</f>
        <v/>
      </c>
      <c r="C11" s="31">
        <f>IF(INDEX(Klassenliste!$C$6:$C$40,6)=0,"",INDEX(Klassenliste!$C$6:$C$40,6))</f>
        <v/>
      </c>
      <c r="D11" s="19">
        <f>IF($B11="","",COUNTIF(G11:AJ11,"*M*"))</f>
        <v/>
      </c>
      <c r="E11" s="19">
        <f>IF($B11="","",COUNTIF(G11:AJ11,"*L*"))</f>
        <v/>
      </c>
      <c r="F11" s="38">
        <f>IF($B11="","",COUNTIF(G11:AJ11,"*i*"))</f>
        <v/>
      </c>
      <c r="G11" s="39" t="inlineStr"/>
      <c r="H11" s="39" t="inlineStr"/>
      <c r="I11" s="39" t="inlineStr"/>
      <c r="J11" s="39" t="inlineStr"/>
      <c r="K11" s="40" t="inlineStr"/>
      <c r="L11" s="39" t="inlineStr"/>
      <c r="M11" s="39" t="inlineStr"/>
      <c r="N11" s="39" t="inlineStr"/>
      <c r="O11" s="39" t="inlineStr"/>
      <c r="P11" s="40" t="inlineStr"/>
      <c r="Q11" s="39" t="inlineStr"/>
      <c r="R11" s="39" t="inlineStr"/>
      <c r="S11" s="39" t="inlineStr"/>
      <c r="T11" s="39" t="inlineStr"/>
      <c r="U11" s="40" t="inlineStr"/>
      <c r="V11" s="39" t="inlineStr"/>
      <c r="W11" s="39" t="inlineStr"/>
      <c r="X11" s="39" t="inlineStr"/>
      <c r="Y11" s="39" t="inlineStr"/>
      <c r="Z11" s="40" t="inlineStr"/>
      <c r="AA11" s="39" t="inlineStr"/>
      <c r="AB11" s="39" t="inlineStr"/>
      <c r="AC11" s="39" t="inlineStr"/>
      <c r="AD11" s="39" t="inlineStr"/>
      <c r="AE11" s="40" t="inlineStr"/>
      <c r="AF11" s="39" t="inlineStr"/>
      <c r="AG11" s="39" t="inlineStr"/>
      <c r="AH11" s="39" t="inlineStr"/>
      <c r="AI11" s="39" t="inlineStr"/>
      <c r="AJ11" s="40" t="inlineStr"/>
    </row>
    <row r="12">
      <c r="A12" s="37" t="n">
        <v>7</v>
      </c>
      <c r="B12" s="31">
        <f>IF(INDEX(Klassenliste!$B$6:$B$40,7)=0,"",INDEX(Klassenliste!$B$6:$B$40,7))</f>
        <v/>
      </c>
      <c r="C12" s="31">
        <f>IF(INDEX(Klassenliste!$C$6:$C$40,7)=0,"",INDEX(Klassenliste!$C$6:$C$40,7))</f>
        <v/>
      </c>
      <c r="D12" s="19">
        <f>IF($B12="","",COUNTIF(G12:AJ12,"*M*"))</f>
        <v/>
      </c>
      <c r="E12" s="19">
        <f>IF($B12="","",COUNTIF(G12:AJ12,"*L*"))</f>
        <v/>
      </c>
      <c r="F12" s="38">
        <f>IF($B12="","",COUNTIF(G12:AJ12,"*i*"))</f>
        <v/>
      </c>
      <c r="G12" s="39" t="inlineStr"/>
      <c r="H12" s="39" t="inlineStr"/>
      <c r="I12" s="39" t="inlineStr"/>
      <c r="J12" s="39" t="inlineStr"/>
      <c r="K12" s="40" t="inlineStr"/>
      <c r="L12" s="39" t="inlineStr"/>
      <c r="M12" s="39" t="inlineStr"/>
      <c r="N12" s="39" t="inlineStr"/>
      <c r="O12" s="39" t="inlineStr"/>
      <c r="P12" s="40" t="inlineStr"/>
      <c r="Q12" s="39" t="inlineStr"/>
      <c r="R12" s="39" t="inlineStr"/>
      <c r="S12" s="39" t="inlineStr"/>
      <c r="T12" s="39" t="inlineStr"/>
      <c r="U12" s="40" t="inlineStr"/>
      <c r="V12" s="39" t="inlineStr"/>
      <c r="W12" s="39" t="inlineStr"/>
      <c r="X12" s="39" t="inlineStr"/>
      <c r="Y12" s="39" t="inlineStr"/>
      <c r="Z12" s="40" t="inlineStr"/>
      <c r="AA12" s="39" t="inlineStr"/>
      <c r="AB12" s="39" t="inlineStr"/>
      <c r="AC12" s="39" t="inlineStr"/>
      <c r="AD12" s="39" t="inlineStr"/>
      <c r="AE12" s="40" t="inlineStr"/>
      <c r="AF12" s="39" t="inlineStr"/>
      <c r="AG12" s="39" t="inlineStr"/>
      <c r="AH12" s="39" t="inlineStr"/>
      <c r="AI12" s="39" t="inlineStr"/>
      <c r="AJ12" s="40" t="inlineStr"/>
    </row>
    <row r="13">
      <c r="A13" s="37" t="n">
        <v>8</v>
      </c>
      <c r="B13" s="31">
        <f>IF(INDEX(Klassenliste!$B$6:$B$40,8)=0,"",INDEX(Klassenliste!$B$6:$B$40,8))</f>
        <v/>
      </c>
      <c r="C13" s="31">
        <f>IF(INDEX(Klassenliste!$C$6:$C$40,8)=0,"",INDEX(Klassenliste!$C$6:$C$40,8))</f>
        <v/>
      </c>
      <c r="D13" s="19">
        <f>IF($B13="","",COUNTIF(G13:AJ13,"*M*"))</f>
        <v/>
      </c>
      <c r="E13" s="19">
        <f>IF($B13="","",COUNTIF(G13:AJ13,"*L*"))</f>
        <v/>
      </c>
      <c r="F13" s="38">
        <f>IF($B13="","",COUNTIF(G13:AJ13,"*i*"))</f>
        <v/>
      </c>
      <c r="G13" s="39" t="inlineStr"/>
      <c r="H13" s="39" t="inlineStr"/>
      <c r="I13" s="39" t="inlineStr"/>
      <c r="J13" s="39" t="inlineStr"/>
      <c r="K13" s="40" t="inlineStr"/>
      <c r="L13" s="39" t="inlineStr"/>
      <c r="M13" s="39" t="inlineStr"/>
      <c r="N13" s="39" t="inlineStr"/>
      <c r="O13" s="39" t="inlineStr"/>
      <c r="P13" s="40" t="inlineStr"/>
      <c r="Q13" s="39" t="inlineStr"/>
      <c r="R13" s="39" t="inlineStr"/>
      <c r="S13" s="39" t="inlineStr"/>
      <c r="T13" s="39" t="inlineStr"/>
      <c r="U13" s="40" t="inlineStr"/>
      <c r="V13" s="39" t="inlineStr"/>
      <c r="W13" s="39" t="inlineStr"/>
      <c r="X13" s="39" t="inlineStr"/>
      <c r="Y13" s="39" t="inlineStr"/>
      <c r="Z13" s="40" t="inlineStr"/>
      <c r="AA13" s="39" t="inlineStr"/>
      <c r="AB13" s="39" t="inlineStr"/>
      <c r="AC13" s="39" t="inlineStr"/>
      <c r="AD13" s="39" t="inlineStr"/>
      <c r="AE13" s="40" t="inlineStr"/>
      <c r="AF13" s="39" t="inlineStr"/>
      <c r="AG13" s="39" t="inlineStr"/>
      <c r="AH13" s="39" t="inlineStr"/>
      <c r="AI13" s="39" t="inlineStr"/>
      <c r="AJ13" s="40" t="inlineStr"/>
    </row>
    <row r="14">
      <c r="A14" s="37" t="n">
        <v>9</v>
      </c>
      <c r="B14" s="31">
        <f>IF(INDEX(Klassenliste!$B$6:$B$40,9)=0,"",INDEX(Klassenliste!$B$6:$B$40,9))</f>
        <v/>
      </c>
      <c r="C14" s="31">
        <f>IF(INDEX(Klassenliste!$C$6:$C$40,9)=0,"",INDEX(Klassenliste!$C$6:$C$40,9))</f>
        <v/>
      </c>
      <c r="D14" s="19">
        <f>IF($B14="","",COUNTIF(G14:AJ14,"*M*"))</f>
        <v/>
      </c>
      <c r="E14" s="19">
        <f>IF($B14="","",COUNTIF(G14:AJ14,"*L*"))</f>
        <v/>
      </c>
      <c r="F14" s="38">
        <f>IF($B14="","",COUNTIF(G14:AJ14,"*i*"))</f>
        <v/>
      </c>
      <c r="G14" s="39" t="inlineStr"/>
      <c r="H14" s="39" t="inlineStr"/>
      <c r="I14" s="39" t="inlineStr"/>
      <c r="J14" s="39" t="inlineStr"/>
      <c r="K14" s="40" t="inlineStr"/>
      <c r="L14" s="39" t="inlineStr"/>
      <c r="M14" s="39" t="inlineStr"/>
      <c r="N14" s="39" t="inlineStr"/>
      <c r="O14" s="39" t="inlineStr"/>
      <c r="P14" s="40" t="inlineStr"/>
      <c r="Q14" s="39" t="inlineStr"/>
      <c r="R14" s="39" t="inlineStr"/>
      <c r="S14" s="39" t="inlineStr"/>
      <c r="T14" s="39" t="inlineStr"/>
      <c r="U14" s="40" t="inlineStr"/>
      <c r="V14" s="39" t="inlineStr"/>
      <c r="W14" s="39" t="inlineStr"/>
      <c r="X14" s="39" t="inlineStr"/>
      <c r="Y14" s="39" t="inlineStr"/>
      <c r="Z14" s="40" t="inlineStr"/>
      <c r="AA14" s="39" t="inlineStr"/>
      <c r="AB14" s="39" t="inlineStr"/>
      <c r="AC14" s="39" t="inlineStr"/>
      <c r="AD14" s="39" t="inlineStr"/>
      <c r="AE14" s="40" t="inlineStr"/>
      <c r="AF14" s="39" t="inlineStr"/>
      <c r="AG14" s="39" t="inlineStr"/>
      <c r="AH14" s="39" t="inlineStr"/>
      <c r="AI14" s="39" t="inlineStr"/>
      <c r="AJ14" s="40" t="inlineStr"/>
    </row>
    <row r="15">
      <c r="A15" s="37" t="n">
        <v>10</v>
      </c>
      <c r="B15" s="31">
        <f>IF(INDEX(Klassenliste!$B$6:$B$40,10)=0,"",INDEX(Klassenliste!$B$6:$B$40,10))</f>
        <v/>
      </c>
      <c r="C15" s="31">
        <f>IF(INDEX(Klassenliste!$C$6:$C$40,10)=0,"",INDEX(Klassenliste!$C$6:$C$40,10))</f>
        <v/>
      </c>
      <c r="D15" s="19">
        <f>IF($B15="","",COUNTIF(G15:AJ15,"*M*"))</f>
        <v/>
      </c>
      <c r="E15" s="19">
        <f>IF($B15="","",COUNTIF(G15:AJ15,"*L*"))</f>
        <v/>
      </c>
      <c r="F15" s="38">
        <f>IF($B15="","",COUNTIF(G15:AJ15,"*i*"))</f>
        <v/>
      </c>
      <c r="G15" s="39" t="inlineStr"/>
      <c r="H15" s="39" t="inlineStr"/>
      <c r="I15" s="39" t="inlineStr"/>
      <c r="J15" s="39" t="inlineStr"/>
      <c r="K15" s="40" t="inlineStr"/>
      <c r="L15" s="39" t="inlineStr"/>
      <c r="M15" s="39" t="inlineStr"/>
      <c r="N15" s="39" t="inlineStr"/>
      <c r="O15" s="39" t="inlineStr"/>
      <c r="P15" s="40" t="inlineStr"/>
      <c r="Q15" s="39" t="inlineStr"/>
      <c r="R15" s="39" t="inlineStr"/>
      <c r="S15" s="39" t="inlineStr"/>
      <c r="T15" s="39" t="inlineStr"/>
      <c r="U15" s="40" t="inlineStr"/>
      <c r="V15" s="39" t="inlineStr"/>
      <c r="W15" s="39" t="inlineStr"/>
      <c r="X15" s="39" t="inlineStr"/>
      <c r="Y15" s="39" t="inlineStr"/>
      <c r="Z15" s="40" t="inlineStr"/>
      <c r="AA15" s="39" t="inlineStr"/>
      <c r="AB15" s="39" t="inlineStr"/>
      <c r="AC15" s="39" t="inlineStr"/>
      <c r="AD15" s="39" t="inlineStr"/>
      <c r="AE15" s="40" t="inlineStr"/>
      <c r="AF15" s="39" t="inlineStr"/>
      <c r="AG15" s="39" t="inlineStr"/>
      <c r="AH15" s="39" t="inlineStr"/>
      <c r="AI15" s="39" t="inlineStr"/>
      <c r="AJ15" s="40" t="inlineStr"/>
    </row>
    <row r="16">
      <c r="A16" s="37" t="n">
        <v>11</v>
      </c>
      <c r="B16" s="31">
        <f>IF(INDEX(Klassenliste!$B$6:$B$40,11)=0,"",INDEX(Klassenliste!$B$6:$B$40,11))</f>
        <v/>
      </c>
      <c r="C16" s="31">
        <f>IF(INDEX(Klassenliste!$C$6:$C$40,11)=0,"",INDEX(Klassenliste!$C$6:$C$40,11))</f>
        <v/>
      </c>
      <c r="D16" s="19">
        <f>IF($B16="","",COUNTIF(G16:AJ16,"*M*"))</f>
        <v/>
      </c>
      <c r="E16" s="19">
        <f>IF($B16="","",COUNTIF(G16:AJ16,"*L*"))</f>
        <v/>
      </c>
      <c r="F16" s="38">
        <f>IF($B16="","",COUNTIF(G16:AJ16,"*i*"))</f>
        <v/>
      </c>
      <c r="G16" s="39" t="inlineStr"/>
      <c r="H16" s="39" t="inlineStr"/>
      <c r="I16" s="39" t="inlineStr"/>
      <c r="J16" s="39" t="inlineStr"/>
      <c r="K16" s="40" t="inlineStr"/>
      <c r="L16" s="39" t="inlineStr"/>
      <c r="M16" s="39" t="inlineStr"/>
      <c r="N16" s="39" t="inlineStr"/>
      <c r="O16" s="39" t="inlineStr"/>
      <c r="P16" s="40" t="inlineStr"/>
      <c r="Q16" s="39" t="inlineStr"/>
      <c r="R16" s="39" t="inlineStr"/>
      <c r="S16" s="39" t="inlineStr"/>
      <c r="T16" s="39" t="inlineStr"/>
      <c r="U16" s="40" t="inlineStr"/>
      <c r="V16" s="39" t="inlineStr"/>
      <c r="W16" s="39" t="inlineStr"/>
      <c r="X16" s="39" t="inlineStr"/>
      <c r="Y16" s="39" t="inlineStr"/>
      <c r="Z16" s="40" t="inlineStr"/>
      <c r="AA16" s="39" t="inlineStr"/>
      <c r="AB16" s="39" t="inlineStr"/>
      <c r="AC16" s="39" t="inlineStr"/>
      <c r="AD16" s="39" t="inlineStr"/>
      <c r="AE16" s="40" t="inlineStr"/>
      <c r="AF16" s="39" t="inlineStr"/>
      <c r="AG16" s="39" t="inlineStr"/>
      <c r="AH16" s="39" t="inlineStr"/>
      <c r="AI16" s="39" t="inlineStr"/>
      <c r="AJ16" s="40" t="inlineStr"/>
    </row>
    <row r="17">
      <c r="A17" s="37" t="n">
        <v>12</v>
      </c>
      <c r="B17" s="31">
        <f>IF(INDEX(Klassenliste!$B$6:$B$40,12)=0,"",INDEX(Klassenliste!$B$6:$B$40,12))</f>
        <v/>
      </c>
      <c r="C17" s="31">
        <f>IF(INDEX(Klassenliste!$C$6:$C$40,12)=0,"",INDEX(Klassenliste!$C$6:$C$40,12))</f>
        <v/>
      </c>
      <c r="D17" s="19">
        <f>IF($B17="","",COUNTIF(G17:AJ17,"*M*"))</f>
        <v/>
      </c>
      <c r="E17" s="19">
        <f>IF($B17="","",COUNTIF(G17:AJ17,"*L*"))</f>
        <v/>
      </c>
      <c r="F17" s="38">
        <f>IF($B17="","",COUNTIF(G17:AJ17,"*i*"))</f>
        <v/>
      </c>
      <c r="G17" s="39" t="inlineStr"/>
      <c r="H17" s="39" t="inlineStr"/>
      <c r="I17" s="39" t="inlineStr"/>
      <c r="J17" s="39" t="inlineStr"/>
      <c r="K17" s="40" t="inlineStr"/>
      <c r="L17" s="39" t="inlineStr"/>
      <c r="M17" s="39" t="inlineStr"/>
      <c r="N17" s="39" t="inlineStr"/>
      <c r="O17" s="39" t="inlineStr"/>
      <c r="P17" s="40" t="inlineStr"/>
      <c r="Q17" s="39" t="inlineStr"/>
      <c r="R17" s="39" t="inlineStr"/>
      <c r="S17" s="39" t="inlineStr"/>
      <c r="T17" s="39" t="inlineStr"/>
      <c r="U17" s="40" t="inlineStr"/>
      <c r="V17" s="39" t="inlineStr"/>
      <c r="W17" s="39" t="inlineStr"/>
      <c r="X17" s="39" t="inlineStr"/>
      <c r="Y17" s="39" t="inlineStr"/>
      <c r="Z17" s="40" t="inlineStr"/>
      <c r="AA17" s="39" t="inlineStr"/>
      <c r="AB17" s="39" t="inlineStr"/>
      <c r="AC17" s="39" t="inlineStr"/>
      <c r="AD17" s="39" t="inlineStr"/>
      <c r="AE17" s="40" t="inlineStr"/>
      <c r="AF17" s="39" t="inlineStr"/>
      <c r="AG17" s="39" t="inlineStr"/>
      <c r="AH17" s="39" t="inlineStr"/>
      <c r="AI17" s="39" t="inlineStr"/>
      <c r="AJ17" s="40" t="inlineStr"/>
    </row>
    <row r="18">
      <c r="A18" s="37" t="n">
        <v>13</v>
      </c>
      <c r="B18" s="31">
        <f>IF(INDEX(Klassenliste!$B$6:$B$40,13)=0,"",INDEX(Klassenliste!$B$6:$B$40,13))</f>
        <v/>
      </c>
      <c r="C18" s="31">
        <f>IF(INDEX(Klassenliste!$C$6:$C$40,13)=0,"",INDEX(Klassenliste!$C$6:$C$40,13))</f>
        <v/>
      </c>
      <c r="D18" s="19">
        <f>IF($B18="","",COUNTIF(G18:AJ18,"*M*"))</f>
        <v/>
      </c>
      <c r="E18" s="19">
        <f>IF($B18="","",COUNTIF(G18:AJ18,"*L*"))</f>
        <v/>
      </c>
      <c r="F18" s="38">
        <f>IF($B18="","",COUNTIF(G18:AJ18,"*i*"))</f>
        <v/>
      </c>
      <c r="G18" s="39" t="inlineStr"/>
      <c r="H18" s="39" t="inlineStr"/>
      <c r="I18" s="39" t="inlineStr"/>
      <c r="J18" s="39" t="inlineStr"/>
      <c r="K18" s="40" t="inlineStr"/>
      <c r="L18" s="39" t="inlineStr"/>
      <c r="M18" s="39" t="inlineStr"/>
      <c r="N18" s="39" t="inlineStr"/>
      <c r="O18" s="39" t="inlineStr"/>
      <c r="P18" s="40" t="inlineStr"/>
      <c r="Q18" s="39" t="inlineStr"/>
      <c r="R18" s="39" t="inlineStr"/>
      <c r="S18" s="39" t="inlineStr"/>
      <c r="T18" s="39" t="inlineStr"/>
      <c r="U18" s="40" t="inlineStr"/>
      <c r="V18" s="39" t="inlineStr"/>
      <c r="W18" s="39" t="inlineStr"/>
      <c r="X18" s="39" t="inlineStr"/>
      <c r="Y18" s="39" t="inlineStr"/>
      <c r="Z18" s="40" t="inlineStr"/>
      <c r="AA18" s="39" t="inlineStr"/>
      <c r="AB18" s="39" t="inlineStr"/>
      <c r="AC18" s="39" t="inlineStr"/>
      <c r="AD18" s="39" t="inlineStr"/>
      <c r="AE18" s="40" t="inlineStr"/>
      <c r="AF18" s="39" t="inlineStr"/>
      <c r="AG18" s="39" t="inlineStr"/>
      <c r="AH18" s="39" t="inlineStr"/>
      <c r="AI18" s="39" t="inlineStr"/>
      <c r="AJ18" s="40" t="inlineStr"/>
    </row>
    <row r="19">
      <c r="A19" s="37" t="n">
        <v>14</v>
      </c>
      <c r="B19" s="31">
        <f>IF(INDEX(Klassenliste!$B$6:$B$40,14)=0,"",INDEX(Klassenliste!$B$6:$B$40,14))</f>
        <v/>
      </c>
      <c r="C19" s="31">
        <f>IF(INDEX(Klassenliste!$C$6:$C$40,14)=0,"",INDEX(Klassenliste!$C$6:$C$40,14))</f>
        <v/>
      </c>
      <c r="D19" s="19">
        <f>IF($B19="","",COUNTIF(G19:AJ19,"*M*"))</f>
        <v/>
      </c>
      <c r="E19" s="19">
        <f>IF($B19="","",COUNTIF(G19:AJ19,"*L*"))</f>
        <v/>
      </c>
      <c r="F19" s="38">
        <f>IF($B19="","",COUNTIF(G19:AJ19,"*i*"))</f>
        <v/>
      </c>
      <c r="G19" s="39" t="inlineStr"/>
      <c r="H19" s="39" t="inlineStr"/>
      <c r="I19" s="39" t="inlineStr"/>
      <c r="J19" s="39" t="inlineStr"/>
      <c r="K19" s="40" t="inlineStr"/>
      <c r="L19" s="39" t="inlineStr"/>
      <c r="M19" s="39" t="inlineStr"/>
      <c r="N19" s="39" t="inlineStr"/>
      <c r="O19" s="39" t="inlineStr"/>
      <c r="P19" s="40" t="inlineStr"/>
      <c r="Q19" s="39" t="inlineStr"/>
      <c r="R19" s="39" t="inlineStr"/>
      <c r="S19" s="39" t="inlineStr"/>
      <c r="T19" s="39" t="inlineStr"/>
      <c r="U19" s="40" t="inlineStr"/>
      <c r="V19" s="39" t="inlineStr"/>
      <c r="W19" s="39" t="inlineStr"/>
      <c r="X19" s="39" t="inlineStr"/>
      <c r="Y19" s="39" t="inlineStr"/>
      <c r="Z19" s="40" t="inlineStr"/>
      <c r="AA19" s="39" t="inlineStr"/>
      <c r="AB19" s="39" t="inlineStr"/>
      <c r="AC19" s="39" t="inlineStr"/>
      <c r="AD19" s="39" t="inlineStr"/>
      <c r="AE19" s="40" t="inlineStr"/>
      <c r="AF19" s="39" t="inlineStr"/>
      <c r="AG19" s="39" t="inlineStr"/>
      <c r="AH19" s="39" t="inlineStr"/>
      <c r="AI19" s="39" t="inlineStr"/>
      <c r="AJ19" s="40" t="inlineStr"/>
    </row>
    <row r="20">
      <c r="A20" s="37" t="n">
        <v>15</v>
      </c>
      <c r="B20" s="31">
        <f>IF(INDEX(Klassenliste!$B$6:$B$40,15)=0,"",INDEX(Klassenliste!$B$6:$B$40,15))</f>
        <v/>
      </c>
      <c r="C20" s="31">
        <f>IF(INDEX(Klassenliste!$C$6:$C$40,15)=0,"",INDEX(Klassenliste!$C$6:$C$40,15))</f>
        <v/>
      </c>
      <c r="D20" s="19">
        <f>IF($B20="","",COUNTIF(G20:AJ20,"*M*"))</f>
        <v/>
      </c>
      <c r="E20" s="19">
        <f>IF($B20="","",COUNTIF(G20:AJ20,"*L*"))</f>
        <v/>
      </c>
      <c r="F20" s="38">
        <f>IF($B20="","",COUNTIF(G20:AJ20,"*i*"))</f>
        <v/>
      </c>
      <c r="G20" s="39" t="inlineStr"/>
      <c r="H20" s="39" t="inlineStr"/>
      <c r="I20" s="39" t="inlineStr"/>
      <c r="J20" s="39" t="inlineStr"/>
      <c r="K20" s="40" t="inlineStr"/>
      <c r="L20" s="39" t="inlineStr"/>
      <c r="M20" s="39" t="inlineStr"/>
      <c r="N20" s="39" t="inlineStr"/>
      <c r="O20" s="39" t="inlineStr"/>
      <c r="P20" s="40" t="inlineStr"/>
      <c r="Q20" s="39" t="inlineStr"/>
      <c r="R20" s="39" t="inlineStr"/>
      <c r="S20" s="39" t="inlineStr"/>
      <c r="T20" s="39" t="inlineStr"/>
      <c r="U20" s="40" t="inlineStr"/>
      <c r="V20" s="39" t="inlineStr"/>
      <c r="W20" s="39" t="inlineStr"/>
      <c r="X20" s="39" t="inlineStr"/>
      <c r="Y20" s="39" t="inlineStr"/>
      <c r="Z20" s="40" t="inlineStr"/>
      <c r="AA20" s="39" t="inlineStr"/>
      <c r="AB20" s="39" t="inlineStr"/>
      <c r="AC20" s="39" t="inlineStr"/>
      <c r="AD20" s="39" t="inlineStr"/>
      <c r="AE20" s="40" t="inlineStr"/>
      <c r="AF20" s="39" t="inlineStr"/>
      <c r="AG20" s="39" t="inlineStr"/>
      <c r="AH20" s="39" t="inlineStr"/>
      <c r="AI20" s="39" t="inlineStr"/>
      <c r="AJ20" s="40" t="inlineStr"/>
    </row>
    <row r="21">
      <c r="A21" s="37" t="n">
        <v>16</v>
      </c>
      <c r="B21" s="31">
        <f>IF(INDEX(Klassenliste!$B$6:$B$40,16)=0,"",INDEX(Klassenliste!$B$6:$B$40,16))</f>
        <v/>
      </c>
      <c r="C21" s="31">
        <f>IF(INDEX(Klassenliste!$C$6:$C$40,16)=0,"",INDEX(Klassenliste!$C$6:$C$40,16))</f>
        <v/>
      </c>
      <c r="D21" s="19">
        <f>IF($B21="","",COUNTIF(G21:AJ21,"*M*"))</f>
        <v/>
      </c>
      <c r="E21" s="19">
        <f>IF($B21="","",COUNTIF(G21:AJ21,"*L*"))</f>
        <v/>
      </c>
      <c r="F21" s="38">
        <f>IF($B21="","",COUNTIF(G21:AJ21,"*i*"))</f>
        <v/>
      </c>
      <c r="G21" s="39" t="inlineStr"/>
      <c r="H21" s="39" t="inlineStr"/>
      <c r="I21" s="39" t="inlineStr"/>
      <c r="J21" s="39" t="inlineStr"/>
      <c r="K21" s="40" t="inlineStr"/>
      <c r="L21" s="39" t="inlineStr"/>
      <c r="M21" s="39" t="inlineStr"/>
      <c r="N21" s="39" t="inlineStr"/>
      <c r="O21" s="39" t="inlineStr"/>
      <c r="P21" s="40" t="inlineStr"/>
      <c r="Q21" s="39" t="inlineStr"/>
      <c r="R21" s="39" t="inlineStr"/>
      <c r="S21" s="39" t="inlineStr"/>
      <c r="T21" s="39" t="inlineStr"/>
      <c r="U21" s="40" t="inlineStr"/>
      <c r="V21" s="39" t="inlineStr"/>
      <c r="W21" s="39" t="inlineStr"/>
      <c r="X21" s="39" t="inlineStr"/>
      <c r="Y21" s="39" t="inlineStr"/>
      <c r="Z21" s="40" t="inlineStr"/>
      <c r="AA21" s="39" t="inlineStr"/>
      <c r="AB21" s="39" t="inlineStr"/>
      <c r="AC21" s="39" t="inlineStr"/>
      <c r="AD21" s="39" t="inlineStr"/>
      <c r="AE21" s="40" t="inlineStr"/>
      <c r="AF21" s="39" t="inlineStr"/>
      <c r="AG21" s="39" t="inlineStr"/>
      <c r="AH21" s="39" t="inlineStr"/>
      <c r="AI21" s="39" t="inlineStr"/>
      <c r="AJ21" s="40" t="inlineStr"/>
    </row>
    <row r="22">
      <c r="A22" s="37" t="n">
        <v>17</v>
      </c>
      <c r="B22" s="31">
        <f>IF(INDEX(Klassenliste!$B$6:$B$40,17)=0,"",INDEX(Klassenliste!$B$6:$B$40,17))</f>
        <v/>
      </c>
      <c r="C22" s="31">
        <f>IF(INDEX(Klassenliste!$C$6:$C$40,17)=0,"",INDEX(Klassenliste!$C$6:$C$40,17))</f>
        <v/>
      </c>
      <c r="D22" s="19">
        <f>IF($B22="","",COUNTIF(G22:AJ22,"*M*"))</f>
        <v/>
      </c>
      <c r="E22" s="19">
        <f>IF($B22="","",COUNTIF(G22:AJ22,"*L*"))</f>
        <v/>
      </c>
      <c r="F22" s="38">
        <f>IF($B22="","",COUNTIF(G22:AJ22,"*i*"))</f>
        <v/>
      </c>
      <c r="G22" s="39" t="inlineStr"/>
      <c r="H22" s="39" t="inlineStr"/>
      <c r="I22" s="39" t="inlineStr"/>
      <c r="J22" s="39" t="inlineStr"/>
      <c r="K22" s="40" t="inlineStr"/>
      <c r="L22" s="39" t="inlineStr"/>
      <c r="M22" s="39" t="inlineStr"/>
      <c r="N22" s="39" t="inlineStr"/>
      <c r="O22" s="39" t="inlineStr"/>
      <c r="P22" s="40" t="inlineStr"/>
      <c r="Q22" s="39" t="inlineStr"/>
      <c r="R22" s="39" t="inlineStr"/>
      <c r="S22" s="39" t="inlineStr"/>
      <c r="T22" s="39" t="inlineStr"/>
      <c r="U22" s="40" t="inlineStr"/>
      <c r="V22" s="39" t="inlineStr"/>
      <c r="W22" s="39" t="inlineStr"/>
      <c r="X22" s="39" t="inlineStr"/>
      <c r="Y22" s="39" t="inlineStr"/>
      <c r="Z22" s="40" t="inlineStr"/>
      <c r="AA22" s="39" t="inlineStr"/>
      <c r="AB22" s="39" t="inlineStr"/>
      <c r="AC22" s="39" t="inlineStr"/>
      <c r="AD22" s="39" t="inlineStr"/>
      <c r="AE22" s="40" t="inlineStr"/>
      <c r="AF22" s="39" t="inlineStr"/>
      <c r="AG22" s="39" t="inlineStr"/>
      <c r="AH22" s="39" t="inlineStr"/>
      <c r="AI22" s="39" t="inlineStr"/>
      <c r="AJ22" s="40" t="inlineStr"/>
    </row>
    <row r="23">
      <c r="A23" s="37" t="n">
        <v>18</v>
      </c>
      <c r="B23" s="31">
        <f>IF(INDEX(Klassenliste!$B$6:$B$40,18)=0,"",INDEX(Klassenliste!$B$6:$B$40,18))</f>
        <v/>
      </c>
      <c r="C23" s="31">
        <f>IF(INDEX(Klassenliste!$C$6:$C$40,18)=0,"",INDEX(Klassenliste!$C$6:$C$40,18))</f>
        <v/>
      </c>
      <c r="D23" s="19">
        <f>IF($B23="","",COUNTIF(G23:AJ23,"*M*"))</f>
        <v/>
      </c>
      <c r="E23" s="19">
        <f>IF($B23="","",COUNTIF(G23:AJ23,"*L*"))</f>
        <v/>
      </c>
      <c r="F23" s="38">
        <f>IF($B23="","",COUNTIF(G23:AJ23,"*i*"))</f>
        <v/>
      </c>
      <c r="G23" s="39" t="inlineStr"/>
      <c r="H23" s="39" t="inlineStr"/>
      <c r="I23" s="39" t="inlineStr"/>
      <c r="J23" s="39" t="inlineStr"/>
      <c r="K23" s="40" t="inlineStr"/>
      <c r="L23" s="39" t="inlineStr"/>
      <c r="M23" s="39" t="inlineStr"/>
      <c r="N23" s="39" t="inlineStr"/>
      <c r="O23" s="39" t="inlineStr"/>
      <c r="P23" s="40" t="inlineStr"/>
      <c r="Q23" s="39" t="inlineStr"/>
      <c r="R23" s="39" t="inlineStr"/>
      <c r="S23" s="39" t="inlineStr"/>
      <c r="T23" s="39" t="inlineStr"/>
      <c r="U23" s="40" t="inlineStr"/>
      <c r="V23" s="39" t="inlineStr"/>
      <c r="W23" s="39" t="inlineStr"/>
      <c r="X23" s="39" t="inlineStr"/>
      <c r="Y23" s="39" t="inlineStr"/>
      <c r="Z23" s="40" t="inlineStr"/>
      <c r="AA23" s="39" t="inlineStr"/>
      <c r="AB23" s="39" t="inlineStr"/>
      <c r="AC23" s="39" t="inlineStr"/>
      <c r="AD23" s="39" t="inlineStr"/>
      <c r="AE23" s="40" t="inlineStr"/>
      <c r="AF23" s="39" t="inlineStr"/>
      <c r="AG23" s="39" t="inlineStr"/>
      <c r="AH23" s="39" t="inlineStr"/>
      <c r="AI23" s="39" t="inlineStr"/>
      <c r="AJ23" s="40" t="inlineStr"/>
    </row>
    <row r="24">
      <c r="A24" s="37" t="n">
        <v>19</v>
      </c>
      <c r="B24" s="31">
        <f>IF(INDEX(Klassenliste!$B$6:$B$40,19)=0,"",INDEX(Klassenliste!$B$6:$B$40,19))</f>
        <v/>
      </c>
      <c r="C24" s="31">
        <f>IF(INDEX(Klassenliste!$C$6:$C$40,19)=0,"",INDEX(Klassenliste!$C$6:$C$40,19))</f>
        <v/>
      </c>
      <c r="D24" s="19">
        <f>IF($B24="","",COUNTIF(G24:AJ24,"*M*"))</f>
        <v/>
      </c>
      <c r="E24" s="19">
        <f>IF($B24="","",COUNTIF(G24:AJ24,"*L*"))</f>
        <v/>
      </c>
      <c r="F24" s="38">
        <f>IF($B24="","",COUNTIF(G24:AJ24,"*i*"))</f>
        <v/>
      </c>
      <c r="G24" s="39" t="inlineStr"/>
      <c r="H24" s="39" t="inlineStr"/>
      <c r="I24" s="39" t="inlineStr"/>
      <c r="J24" s="39" t="inlineStr"/>
      <c r="K24" s="40" t="inlineStr"/>
      <c r="L24" s="39" t="inlineStr"/>
      <c r="M24" s="39" t="inlineStr"/>
      <c r="N24" s="39" t="inlineStr"/>
      <c r="O24" s="39" t="inlineStr"/>
      <c r="P24" s="40" t="inlineStr"/>
      <c r="Q24" s="39" t="inlineStr"/>
      <c r="R24" s="39" t="inlineStr"/>
      <c r="S24" s="39" t="inlineStr"/>
      <c r="T24" s="39" t="inlineStr"/>
      <c r="U24" s="40" t="inlineStr"/>
      <c r="V24" s="39" t="inlineStr"/>
      <c r="W24" s="39" t="inlineStr"/>
      <c r="X24" s="39" t="inlineStr"/>
      <c r="Y24" s="39" t="inlineStr"/>
      <c r="Z24" s="40" t="inlineStr"/>
      <c r="AA24" s="39" t="inlineStr"/>
      <c r="AB24" s="39" t="inlineStr"/>
      <c r="AC24" s="39" t="inlineStr"/>
      <c r="AD24" s="39" t="inlineStr"/>
      <c r="AE24" s="40" t="inlineStr"/>
      <c r="AF24" s="39" t="inlineStr"/>
      <c r="AG24" s="39" t="inlineStr"/>
      <c r="AH24" s="39" t="inlineStr"/>
      <c r="AI24" s="39" t="inlineStr"/>
      <c r="AJ24" s="40" t="inlineStr"/>
    </row>
    <row r="25">
      <c r="A25" s="37" t="n">
        <v>20</v>
      </c>
      <c r="B25" s="31">
        <f>IF(INDEX(Klassenliste!$B$6:$B$40,20)=0,"",INDEX(Klassenliste!$B$6:$B$40,20))</f>
        <v/>
      </c>
      <c r="C25" s="31">
        <f>IF(INDEX(Klassenliste!$C$6:$C$40,20)=0,"",INDEX(Klassenliste!$C$6:$C$40,20))</f>
        <v/>
      </c>
      <c r="D25" s="19">
        <f>IF($B25="","",COUNTIF(G25:AJ25,"*M*"))</f>
        <v/>
      </c>
      <c r="E25" s="19">
        <f>IF($B25="","",COUNTIF(G25:AJ25,"*L*"))</f>
        <v/>
      </c>
      <c r="F25" s="38">
        <f>IF($B25="","",COUNTIF(G25:AJ25,"*i*"))</f>
        <v/>
      </c>
      <c r="G25" s="39" t="inlineStr"/>
      <c r="H25" s="39" t="inlineStr"/>
      <c r="I25" s="39" t="inlineStr"/>
      <c r="J25" s="39" t="inlineStr"/>
      <c r="K25" s="40" t="inlineStr"/>
      <c r="L25" s="39" t="inlineStr"/>
      <c r="M25" s="39" t="inlineStr"/>
      <c r="N25" s="39" t="inlineStr"/>
      <c r="O25" s="39" t="inlineStr"/>
      <c r="P25" s="40" t="inlineStr"/>
      <c r="Q25" s="39" t="inlineStr"/>
      <c r="R25" s="39" t="inlineStr"/>
      <c r="S25" s="39" t="inlineStr"/>
      <c r="T25" s="39" t="inlineStr"/>
      <c r="U25" s="40" t="inlineStr"/>
      <c r="V25" s="39" t="inlineStr"/>
      <c r="W25" s="39" t="inlineStr"/>
      <c r="X25" s="39" t="inlineStr"/>
      <c r="Y25" s="39" t="inlineStr"/>
      <c r="Z25" s="40" t="inlineStr"/>
      <c r="AA25" s="39" t="inlineStr"/>
      <c r="AB25" s="39" t="inlineStr"/>
      <c r="AC25" s="39" t="inlineStr"/>
      <c r="AD25" s="39" t="inlineStr"/>
      <c r="AE25" s="40" t="inlineStr"/>
      <c r="AF25" s="39" t="inlineStr"/>
      <c r="AG25" s="39" t="inlineStr"/>
      <c r="AH25" s="39" t="inlineStr"/>
      <c r="AI25" s="39" t="inlineStr"/>
      <c r="AJ25" s="40" t="inlineStr"/>
    </row>
    <row r="26">
      <c r="A26" s="37" t="n">
        <v>21</v>
      </c>
      <c r="B26" s="31">
        <f>IF(INDEX(Klassenliste!$B$6:$B$40,21)=0,"",INDEX(Klassenliste!$B$6:$B$40,21))</f>
        <v/>
      </c>
      <c r="C26" s="31">
        <f>IF(INDEX(Klassenliste!$C$6:$C$40,21)=0,"",INDEX(Klassenliste!$C$6:$C$40,21))</f>
        <v/>
      </c>
      <c r="D26" s="19">
        <f>IF($B26="","",COUNTIF(G26:AJ26,"*M*"))</f>
        <v/>
      </c>
      <c r="E26" s="19">
        <f>IF($B26="","",COUNTIF(G26:AJ26,"*L*"))</f>
        <v/>
      </c>
      <c r="F26" s="38">
        <f>IF($B26="","",COUNTIF(G26:AJ26,"*i*"))</f>
        <v/>
      </c>
      <c r="G26" s="39" t="inlineStr"/>
      <c r="H26" s="39" t="inlineStr"/>
      <c r="I26" s="39" t="inlineStr"/>
      <c r="J26" s="39" t="inlineStr"/>
      <c r="K26" s="40" t="inlineStr"/>
      <c r="L26" s="39" t="inlineStr"/>
      <c r="M26" s="39" t="inlineStr"/>
      <c r="N26" s="39" t="inlineStr"/>
      <c r="O26" s="39" t="inlineStr"/>
      <c r="P26" s="40" t="inlineStr"/>
      <c r="Q26" s="39" t="inlineStr"/>
      <c r="R26" s="39" t="inlineStr"/>
      <c r="S26" s="39" t="inlineStr"/>
      <c r="T26" s="39" t="inlineStr"/>
      <c r="U26" s="40" t="inlineStr"/>
      <c r="V26" s="39" t="inlineStr"/>
      <c r="W26" s="39" t="inlineStr"/>
      <c r="X26" s="39" t="inlineStr"/>
      <c r="Y26" s="39" t="inlineStr"/>
      <c r="Z26" s="40" t="inlineStr"/>
      <c r="AA26" s="39" t="inlineStr"/>
      <c r="AB26" s="39" t="inlineStr"/>
      <c r="AC26" s="39" t="inlineStr"/>
      <c r="AD26" s="39" t="inlineStr"/>
      <c r="AE26" s="40" t="inlineStr"/>
      <c r="AF26" s="39" t="inlineStr"/>
      <c r="AG26" s="39" t="inlineStr"/>
      <c r="AH26" s="39" t="inlineStr"/>
      <c r="AI26" s="39" t="inlineStr"/>
      <c r="AJ26" s="40" t="inlineStr"/>
    </row>
    <row r="27">
      <c r="A27" s="37" t="n">
        <v>22</v>
      </c>
      <c r="B27" s="31">
        <f>IF(INDEX(Klassenliste!$B$6:$B$40,22)=0,"",INDEX(Klassenliste!$B$6:$B$40,22))</f>
        <v/>
      </c>
      <c r="C27" s="31">
        <f>IF(INDEX(Klassenliste!$C$6:$C$40,22)=0,"",INDEX(Klassenliste!$C$6:$C$40,22))</f>
        <v/>
      </c>
      <c r="D27" s="19">
        <f>IF($B27="","",COUNTIF(G27:AJ27,"*M*"))</f>
        <v/>
      </c>
      <c r="E27" s="19">
        <f>IF($B27="","",COUNTIF(G27:AJ27,"*L*"))</f>
        <v/>
      </c>
      <c r="F27" s="38">
        <f>IF($B27="","",COUNTIF(G27:AJ27,"*i*"))</f>
        <v/>
      </c>
      <c r="G27" s="39" t="inlineStr"/>
      <c r="H27" s="39" t="inlineStr"/>
      <c r="I27" s="39" t="inlineStr"/>
      <c r="J27" s="39" t="inlineStr"/>
      <c r="K27" s="40" t="inlineStr"/>
      <c r="L27" s="39" t="inlineStr"/>
      <c r="M27" s="39" t="inlineStr"/>
      <c r="N27" s="39" t="inlineStr"/>
      <c r="O27" s="39" t="inlineStr"/>
      <c r="P27" s="40" t="inlineStr"/>
      <c r="Q27" s="39" t="inlineStr"/>
      <c r="R27" s="39" t="inlineStr"/>
      <c r="S27" s="39" t="inlineStr"/>
      <c r="T27" s="39" t="inlineStr"/>
      <c r="U27" s="40" t="inlineStr"/>
      <c r="V27" s="39" t="inlineStr"/>
      <c r="W27" s="39" t="inlineStr"/>
      <c r="X27" s="39" t="inlineStr"/>
      <c r="Y27" s="39" t="inlineStr"/>
      <c r="Z27" s="40" t="inlineStr"/>
      <c r="AA27" s="39" t="inlineStr"/>
      <c r="AB27" s="39" t="inlineStr"/>
      <c r="AC27" s="39" t="inlineStr"/>
      <c r="AD27" s="39" t="inlineStr"/>
      <c r="AE27" s="40" t="inlineStr"/>
      <c r="AF27" s="39" t="inlineStr"/>
      <c r="AG27" s="39" t="inlineStr"/>
      <c r="AH27" s="39" t="inlineStr"/>
      <c r="AI27" s="39" t="inlineStr"/>
      <c r="AJ27" s="40" t="inlineStr"/>
    </row>
    <row r="28">
      <c r="A28" s="37" t="n">
        <v>23</v>
      </c>
      <c r="B28" s="31">
        <f>IF(INDEX(Klassenliste!$B$6:$B$40,23)=0,"",INDEX(Klassenliste!$B$6:$B$40,23))</f>
        <v/>
      </c>
      <c r="C28" s="31">
        <f>IF(INDEX(Klassenliste!$C$6:$C$40,23)=0,"",INDEX(Klassenliste!$C$6:$C$40,23))</f>
        <v/>
      </c>
      <c r="D28" s="19">
        <f>IF($B28="","",COUNTIF(G28:AJ28,"*M*"))</f>
        <v/>
      </c>
      <c r="E28" s="19">
        <f>IF($B28="","",COUNTIF(G28:AJ28,"*L*"))</f>
        <v/>
      </c>
      <c r="F28" s="38">
        <f>IF($B28="","",COUNTIF(G28:AJ28,"*i*"))</f>
        <v/>
      </c>
      <c r="G28" s="39" t="inlineStr"/>
      <c r="H28" s="39" t="inlineStr"/>
      <c r="I28" s="39" t="inlineStr"/>
      <c r="J28" s="39" t="inlineStr"/>
      <c r="K28" s="40" t="inlineStr"/>
      <c r="L28" s="39" t="inlineStr"/>
      <c r="M28" s="39" t="inlineStr"/>
      <c r="N28" s="39" t="inlineStr"/>
      <c r="O28" s="39" t="inlineStr"/>
      <c r="P28" s="40" t="inlineStr"/>
      <c r="Q28" s="39" t="inlineStr"/>
      <c r="R28" s="39" t="inlineStr"/>
      <c r="S28" s="39" t="inlineStr"/>
      <c r="T28" s="39" t="inlineStr"/>
      <c r="U28" s="40" t="inlineStr"/>
      <c r="V28" s="39" t="inlineStr"/>
      <c r="W28" s="39" t="inlineStr"/>
      <c r="X28" s="39" t="inlineStr"/>
      <c r="Y28" s="39" t="inlineStr"/>
      <c r="Z28" s="40" t="inlineStr"/>
      <c r="AA28" s="39" t="inlineStr"/>
      <c r="AB28" s="39" t="inlineStr"/>
      <c r="AC28" s="39" t="inlineStr"/>
      <c r="AD28" s="39" t="inlineStr"/>
      <c r="AE28" s="40" t="inlineStr"/>
      <c r="AF28" s="39" t="inlineStr"/>
      <c r="AG28" s="39" t="inlineStr"/>
      <c r="AH28" s="39" t="inlineStr"/>
      <c r="AI28" s="39" t="inlineStr"/>
      <c r="AJ28" s="40" t="inlineStr"/>
    </row>
    <row r="29">
      <c r="A29" s="37" t="n">
        <v>24</v>
      </c>
      <c r="B29" s="31">
        <f>IF(INDEX(Klassenliste!$B$6:$B$40,24)=0,"",INDEX(Klassenliste!$B$6:$B$40,24))</f>
        <v/>
      </c>
      <c r="C29" s="31">
        <f>IF(INDEX(Klassenliste!$C$6:$C$40,24)=0,"",INDEX(Klassenliste!$C$6:$C$40,24))</f>
        <v/>
      </c>
      <c r="D29" s="19">
        <f>IF($B29="","",COUNTIF(G29:AJ29,"*M*"))</f>
        <v/>
      </c>
      <c r="E29" s="19">
        <f>IF($B29="","",COUNTIF(G29:AJ29,"*L*"))</f>
        <v/>
      </c>
      <c r="F29" s="38">
        <f>IF($B29="","",COUNTIF(G29:AJ29,"*i*"))</f>
        <v/>
      </c>
      <c r="G29" s="39" t="inlineStr"/>
      <c r="H29" s="39" t="inlineStr"/>
      <c r="I29" s="39" t="inlineStr"/>
      <c r="J29" s="39" t="inlineStr"/>
      <c r="K29" s="40" t="inlineStr"/>
      <c r="L29" s="39" t="inlineStr"/>
      <c r="M29" s="39" t="inlineStr"/>
      <c r="N29" s="39" t="inlineStr"/>
      <c r="O29" s="39" t="inlineStr"/>
      <c r="P29" s="40" t="inlineStr"/>
      <c r="Q29" s="39" t="inlineStr"/>
      <c r="R29" s="39" t="inlineStr"/>
      <c r="S29" s="39" t="inlineStr"/>
      <c r="T29" s="39" t="inlineStr"/>
      <c r="U29" s="40" t="inlineStr"/>
      <c r="V29" s="39" t="inlineStr"/>
      <c r="W29" s="39" t="inlineStr"/>
      <c r="X29" s="39" t="inlineStr"/>
      <c r="Y29" s="39" t="inlineStr"/>
      <c r="Z29" s="40" t="inlineStr"/>
      <c r="AA29" s="39" t="inlineStr"/>
      <c r="AB29" s="39" t="inlineStr"/>
      <c r="AC29" s="39" t="inlineStr"/>
      <c r="AD29" s="39" t="inlineStr"/>
      <c r="AE29" s="40" t="inlineStr"/>
      <c r="AF29" s="39" t="inlineStr"/>
      <c r="AG29" s="39" t="inlineStr"/>
      <c r="AH29" s="39" t="inlineStr"/>
      <c r="AI29" s="39" t="inlineStr"/>
      <c r="AJ29" s="40" t="inlineStr"/>
    </row>
    <row r="30">
      <c r="A30" s="37" t="n">
        <v>25</v>
      </c>
      <c r="B30" s="31">
        <f>IF(INDEX(Klassenliste!$B$6:$B$40,25)=0,"",INDEX(Klassenliste!$B$6:$B$40,25))</f>
        <v/>
      </c>
      <c r="C30" s="31">
        <f>IF(INDEX(Klassenliste!$C$6:$C$40,25)=0,"",INDEX(Klassenliste!$C$6:$C$40,25))</f>
        <v/>
      </c>
      <c r="D30" s="19">
        <f>IF($B30="","",COUNTIF(G30:AJ30,"*M*"))</f>
        <v/>
      </c>
      <c r="E30" s="19">
        <f>IF($B30="","",COUNTIF(G30:AJ30,"*L*"))</f>
        <v/>
      </c>
      <c r="F30" s="38">
        <f>IF($B30="","",COUNTIF(G30:AJ30,"*i*"))</f>
        <v/>
      </c>
      <c r="G30" s="39" t="inlineStr"/>
      <c r="H30" s="39" t="inlineStr"/>
      <c r="I30" s="39" t="inlineStr"/>
      <c r="J30" s="39" t="inlineStr"/>
      <c r="K30" s="40" t="inlineStr"/>
      <c r="L30" s="39" t="inlineStr"/>
      <c r="M30" s="39" t="inlineStr"/>
      <c r="N30" s="39" t="inlineStr"/>
      <c r="O30" s="39" t="inlineStr"/>
      <c r="P30" s="40" t="inlineStr"/>
      <c r="Q30" s="39" t="inlineStr"/>
      <c r="R30" s="39" t="inlineStr"/>
      <c r="S30" s="39" t="inlineStr"/>
      <c r="T30" s="39" t="inlineStr"/>
      <c r="U30" s="40" t="inlineStr"/>
      <c r="V30" s="39" t="inlineStr"/>
      <c r="W30" s="39" t="inlineStr"/>
      <c r="X30" s="39" t="inlineStr"/>
      <c r="Y30" s="39" t="inlineStr"/>
      <c r="Z30" s="40" t="inlineStr"/>
      <c r="AA30" s="39" t="inlineStr"/>
      <c r="AB30" s="39" t="inlineStr"/>
      <c r="AC30" s="39" t="inlineStr"/>
      <c r="AD30" s="39" t="inlineStr"/>
      <c r="AE30" s="40" t="inlineStr"/>
      <c r="AF30" s="39" t="inlineStr"/>
      <c r="AG30" s="39" t="inlineStr"/>
      <c r="AH30" s="39" t="inlineStr"/>
      <c r="AI30" s="39" t="inlineStr"/>
      <c r="AJ30" s="40" t="inlineStr"/>
    </row>
    <row r="31">
      <c r="A31" s="37" t="n">
        <v>26</v>
      </c>
      <c r="B31" s="31">
        <f>IF(INDEX(Klassenliste!$B$6:$B$40,26)=0,"",INDEX(Klassenliste!$B$6:$B$40,26))</f>
        <v/>
      </c>
      <c r="C31" s="31">
        <f>IF(INDEX(Klassenliste!$C$6:$C$40,26)=0,"",INDEX(Klassenliste!$C$6:$C$40,26))</f>
        <v/>
      </c>
      <c r="D31" s="19">
        <f>IF($B31="","",COUNTIF(G31:AJ31,"*M*"))</f>
        <v/>
      </c>
      <c r="E31" s="19">
        <f>IF($B31="","",COUNTIF(G31:AJ31,"*L*"))</f>
        <v/>
      </c>
      <c r="F31" s="38">
        <f>IF($B31="","",COUNTIF(G31:AJ31,"*i*"))</f>
        <v/>
      </c>
      <c r="G31" s="39" t="inlineStr"/>
      <c r="H31" s="39" t="inlineStr"/>
      <c r="I31" s="39" t="inlineStr"/>
      <c r="J31" s="39" t="inlineStr"/>
      <c r="K31" s="40" t="inlineStr"/>
      <c r="L31" s="39" t="inlineStr"/>
      <c r="M31" s="39" t="inlineStr"/>
      <c r="N31" s="39" t="inlineStr"/>
      <c r="O31" s="39" t="inlineStr"/>
      <c r="P31" s="40" t="inlineStr"/>
      <c r="Q31" s="39" t="inlineStr"/>
      <c r="R31" s="39" t="inlineStr"/>
      <c r="S31" s="39" t="inlineStr"/>
      <c r="T31" s="39" t="inlineStr"/>
      <c r="U31" s="40" t="inlineStr"/>
      <c r="V31" s="39" t="inlineStr"/>
      <c r="W31" s="39" t="inlineStr"/>
      <c r="X31" s="39" t="inlineStr"/>
      <c r="Y31" s="39" t="inlineStr"/>
      <c r="Z31" s="40" t="inlineStr"/>
      <c r="AA31" s="39" t="inlineStr"/>
      <c r="AB31" s="39" t="inlineStr"/>
      <c r="AC31" s="39" t="inlineStr"/>
      <c r="AD31" s="39" t="inlineStr"/>
      <c r="AE31" s="40" t="inlineStr"/>
      <c r="AF31" s="39" t="inlineStr"/>
      <c r="AG31" s="39" t="inlineStr"/>
      <c r="AH31" s="39" t="inlineStr"/>
      <c r="AI31" s="39" t="inlineStr"/>
      <c r="AJ31" s="40" t="inlineStr"/>
    </row>
    <row r="32">
      <c r="A32" s="37" t="n">
        <v>27</v>
      </c>
      <c r="B32" s="31">
        <f>IF(INDEX(Klassenliste!$B$6:$B$40,27)=0,"",INDEX(Klassenliste!$B$6:$B$40,27))</f>
        <v/>
      </c>
      <c r="C32" s="31">
        <f>IF(INDEX(Klassenliste!$C$6:$C$40,27)=0,"",INDEX(Klassenliste!$C$6:$C$40,27))</f>
        <v/>
      </c>
      <c r="D32" s="19">
        <f>IF($B32="","",COUNTIF(G32:AJ32,"*M*"))</f>
        <v/>
      </c>
      <c r="E32" s="19">
        <f>IF($B32="","",COUNTIF(G32:AJ32,"*L*"))</f>
        <v/>
      </c>
      <c r="F32" s="38">
        <f>IF($B32="","",COUNTIF(G32:AJ32,"*i*"))</f>
        <v/>
      </c>
      <c r="G32" s="39" t="inlineStr"/>
      <c r="H32" s="39" t="inlineStr"/>
      <c r="I32" s="39" t="inlineStr"/>
      <c r="J32" s="39" t="inlineStr"/>
      <c r="K32" s="40" t="inlineStr"/>
      <c r="L32" s="39" t="inlineStr"/>
      <c r="M32" s="39" t="inlineStr"/>
      <c r="N32" s="39" t="inlineStr"/>
      <c r="O32" s="39" t="inlineStr"/>
      <c r="P32" s="40" t="inlineStr"/>
      <c r="Q32" s="39" t="inlineStr"/>
      <c r="R32" s="39" t="inlineStr"/>
      <c r="S32" s="39" t="inlineStr"/>
      <c r="T32" s="39" t="inlineStr"/>
      <c r="U32" s="40" t="inlineStr"/>
      <c r="V32" s="39" t="inlineStr"/>
      <c r="W32" s="39" t="inlineStr"/>
      <c r="X32" s="39" t="inlineStr"/>
      <c r="Y32" s="39" t="inlineStr"/>
      <c r="Z32" s="40" t="inlineStr"/>
      <c r="AA32" s="39" t="inlineStr"/>
      <c r="AB32" s="39" t="inlineStr"/>
      <c r="AC32" s="39" t="inlineStr"/>
      <c r="AD32" s="39" t="inlineStr"/>
      <c r="AE32" s="40" t="inlineStr"/>
      <c r="AF32" s="39" t="inlineStr"/>
      <c r="AG32" s="39" t="inlineStr"/>
      <c r="AH32" s="39" t="inlineStr"/>
      <c r="AI32" s="39" t="inlineStr"/>
      <c r="AJ32" s="40" t="inlineStr"/>
    </row>
    <row r="33">
      <c r="A33" s="37" t="n">
        <v>28</v>
      </c>
      <c r="B33" s="31">
        <f>IF(INDEX(Klassenliste!$B$6:$B$40,28)=0,"",INDEX(Klassenliste!$B$6:$B$40,28))</f>
        <v/>
      </c>
      <c r="C33" s="31">
        <f>IF(INDEX(Klassenliste!$C$6:$C$40,28)=0,"",INDEX(Klassenliste!$C$6:$C$40,28))</f>
        <v/>
      </c>
      <c r="D33" s="19">
        <f>IF($B33="","",COUNTIF(G33:AJ33,"*M*"))</f>
        <v/>
      </c>
      <c r="E33" s="19">
        <f>IF($B33="","",COUNTIF(G33:AJ33,"*L*"))</f>
        <v/>
      </c>
      <c r="F33" s="38">
        <f>IF($B33="","",COUNTIF(G33:AJ33,"*i*"))</f>
        <v/>
      </c>
      <c r="G33" s="39" t="inlineStr"/>
      <c r="H33" s="39" t="inlineStr"/>
      <c r="I33" s="39" t="inlineStr"/>
      <c r="J33" s="39" t="inlineStr"/>
      <c r="K33" s="40" t="inlineStr"/>
      <c r="L33" s="39" t="inlineStr"/>
      <c r="M33" s="39" t="inlineStr"/>
      <c r="N33" s="39" t="inlineStr"/>
      <c r="O33" s="39" t="inlineStr"/>
      <c r="P33" s="40" t="inlineStr"/>
      <c r="Q33" s="39" t="inlineStr"/>
      <c r="R33" s="39" t="inlineStr"/>
      <c r="S33" s="39" t="inlineStr"/>
      <c r="T33" s="39" t="inlineStr"/>
      <c r="U33" s="40" t="inlineStr"/>
      <c r="V33" s="39" t="inlineStr"/>
      <c r="W33" s="39" t="inlineStr"/>
      <c r="X33" s="39" t="inlineStr"/>
      <c r="Y33" s="39" t="inlineStr"/>
      <c r="Z33" s="40" t="inlineStr"/>
      <c r="AA33" s="39" t="inlineStr"/>
      <c r="AB33" s="39" t="inlineStr"/>
      <c r="AC33" s="39" t="inlineStr"/>
      <c r="AD33" s="39" t="inlineStr"/>
      <c r="AE33" s="40" t="inlineStr"/>
      <c r="AF33" s="39" t="inlineStr"/>
      <c r="AG33" s="39" t="inlineStr"/>
      <c r="AH33" s="39" t="inlineStr"/>
      <c r="AI33" s="39" t="inlineStr"/>
      <c r="AJ33" s="40" t="inlineStr"/>
    </row>
    <row r="34">
      <c r="A34" s="37" t="n">
        <v>29</v>
      </c>
      <c r="B34" s="31">
        <f>IF(INDEX(Klassenliste!$B$6:$B$40,29)=0,"",INDEX(Klassenliste!$B$6:$B$40,29))</f>
        <v/>
      </c>
      <c r="C34" s="31">
        <f>IF(INDEX(Klassenliste!$C$6:$C$40,29)=0,"",INDEX(Klassenliste!$C$6:$C$40,29))</f>
        <v/>
      </c>
      <c r="D34" s="19">
        <f>IF($B34="","",COUNTIF(G34:AJ34,"*M*"))</f>
        <v/>
      </c>
      <c r="E34" s="19">
        <f>IF($B34="","",COUNTIF(G34:AJ34,"*L*"))</f>
        <v/>
      </c>
      <c r="F34" s="38">
        <f>IF($B34="","",COUNTIF(G34:AJ34,"*i*"))</f>
        <v/>
      </c>
      <c r="G34" s="39" t="inlineStr"/>
      <c r="H34" s="39" t="inlineStr"/>
      <c r="I34" s="39" t="inlineStr"/>
      <c r="J34" s="39" t="inlineStr"/>
      <c r="K34" s="40" t="inlineStr"/>
      <c r="L34" s="39" t="inlineStr"/>
      <c r="M34" s="39" t="inlineStr"/>
      <c r="N34" s="39" t="inlineStr"/>
      <c r="O34" s="39" t="inlineStr"/>
      <c r="P34" s="40" t="inlineStr"/>
      <c r="Q34" s="39" t="inlineStr"/>
      <c r="R34" s="39" t="inlineStr"/>
      <c r="S34" s="39" t="inlineStr"/>
      <c r="T34" s="39" t="inlineStr"/>
      <c r="U34" s="40" t="inlineStr"/>
      <c r="V34" s="39" t="inlineStr"/>
      <c r="W34" s="39" t="inlineStr"/>
      <c r="X34" s="39" t="inlineStr"/>
      <c r="Y34" s="39" t="inlineStr"/>
      <c r="Z34" s="40" t="inlineStr"/>
      <c r="AA34" s="39" t="inlineStr"/>
      <c r="AB34" s="39" t="inlineStr"/>
      <c r="AC34" s="39" t="inlineStr"/>
      <c r="AD34" s="39" t="inlineStr"/>
      <c r="AE34" s="40" t="inlineStr"/>
      <c r="AF34" s="39" t="inlineStr"/>
      <c r="AG34" s="39" t="inlineStr"/>
      <c r="AH34" s="39" t="inlineStr"/>
      <c r="AI34" s="39" t="inlineStr"/>
      <c r="AJ34" s="40" t="inlineStr"/>
    </row>
    <row r="35">
      <c r="A35" s="37" t="n">
        <v>30</v>
      </c>
      <c r="B35" s="31">
        <f>IF(INDEX(Klassenliste!$B$6:$B$40,30)=0,"",INDEX(Klassenliste!$B$6:$B$40,30))</f>
        <v/>
      </c>
      <c r="C35" s="31">
        <f>IF(INDEX(Klassenliste!$C$6:$C$40,30)=0,"",INDEX(Klassenliste!$C$6:$C$40,30))</f>
        <v/>
      </c>
      <c r="D35" s="19">
        <f>IF($B35="","",COUNTIF(G35:AJ35,"*M*"))</f>
        <v/>
      </c>
      <c r="E35" s="19">
        <f>IF($B35="","",COUNTIF(G35:AJ35,"*L*"))</f>
        <v/>
      </c>
      <c r="F35" s="38">
        <f>IF($B35="","",COUNTIF(G35:AJ35,"*i*"))</f>
        <v/>
      </c>
      <c r="G35" s="39" t="inlineStr"/>
      <c r="H35" s="39" t="inlineStr"/>
      <c r="I35" s="39" t="inlineStr"/>
      <c r="J35" s="39" t="inlineStr"/>
      <c r="K35" s="40" t="inlineStr"/>
      <c r="L35" s="39" t="inlineStr"/>
      <c r="M35" s="39" t="inlineStr"/>
      <c r="N35" s="39" t="inlineStr"/>
      <c r="O35" s="39" t="inlineStr"/>
      <c r="P35" s="40" t="inlineStr"/>
      <c r="Q35" s="39" t="inlineStr"/>
      <c r="R35" s="39" t="inlineStr"/>
      <c r="S35" s="39" t="inlineStr"/>
      <c r="T35" s="39" t="inlineStr"/>
      <c r="U35" s="40" t="inlineStr"/>
      <c r="V35" s="39" t="inlineStr"/>
      <c r="W35" s="39" t="inlineStr"/>
      <c r="X35" s="39" t="inlineStr"/>
      <c r="Y35" s="39" t="inlineStr"/>
      <c r="Z35" s="40" t="inlineStr"/>
      <c r="AA35" s="39" t="inlineStr"/>
      <c r="AB35" s="39" t="inlineStr"/>
      <c r="AC35" s="39" t="inlineStr"/>
      <c r="AD35" s="39" t="inlineStr"/>
      <c r="AE35" s="40" t="inlineStr"/>
      <c r="AF35" s="39" t="inlineStr"/>
      <c r="AG35" s="39" t="inlineStr"/>
      <c r="AH35" s="39" t="inlineStr"/>
      <c r="AI35" s="39" t="inlineStr"/>
      <c r="AJ35" s="40" t="inlineStr"/>
    </row>
    <row r="36">
      <c r="A36" s="37" t="n">
        <v>31</v>
      </c>
      <c r="B36" s="31">
        <f>IF(INDEX(Klassenliste!$B$6:$B$40,31)=0,"",INDEX(Klassenliste!$B$6:$B$40,31))</f>
        <v/>
      </c>
      <c r="C36" s="31">
        <f>IF(INDEX(Klassenliste!$C$6:$C$40,31)=0,"",INDEX(Klassenliste!$C$6:$C$40,31))</f>
        <v/>
      </c>
      <c r="D36" s="19">
        <f>IF($B36="","",COUNTIF(G36:AJ36,"*M*"))</f>
        <v/>
      </c>
      <c r="E36" s="19">
        <f>IF($B36="","",COUNTIF(G36:AJ36,"*L*"))</f>
        <v/>
      </c>
      <c r="F36" s="38">
        <f>IF($B36="","",COUNTIF(G36:AJ36,"*i*"))</f>
        <v/>
      </c>
      <c r="G36" s="39" t="inlineStr"/>
      <c r="H36" s="39" t="inlineStr"/>
      <c r="I36" s="39" t="inlineStr"/>
      <c r="J36" s="39" t="inlineStr"/>
      <c r="K36" s="40" t="inlineStr"/>
      <c r="L36" s="39" t="inlineStr"/>
      <c r="M36" s="39" t="inlineStr"/>
      <c r="N36" s="39" t="inlineStr"/>
      <c r="O36" s="39" t="inlineStr"/>
      <c r="P36" s="40" t="inlineStr"/>
      <c r="Q36" s="39" t="inlineStr"/>
      <c r="R36" s="39" t="inlineStr"/>
      <c r="S36" s="39" t="inlineStr"/>
      <c r="T36" s="39" t="inlineStr"/>
      <c r="U36" s="40" t="inlineStr"/>
      <c r="V36" s="39" t="inlineStr"/>
      <c r="W36" s="39" t="inlineStr"/>
      <c r="X36" s="39" t="inlineStr"/>
      <c r="Y36" s="39" t="inlineStr"/>
      <c r="Z36" s="40" t="inlineStr"/>
      <c r="AA36" s="39" t="inlineStr"/>
      <c r="AB36" s="39" t="inlineStr"/>
      <c r="AC36" s="39" t="inlineStr"/>
      <c r="AD36" s="39" t="inlineStr"/>
      <c r="AE36" s="40" t="inlineStr"/>
      <c r="AF36" s="39" t="inlineStr"/>
      <c r="AG36" s="39" t="inlineStr"/>
      <c r="AH36" s="39" t="inlineStr"/>
      <c r="AI36" s="39" t="inlineStr"/>
      <c r="AJ36" s="40" t="inlineStr"/>
    </row>
    <row r="37">
      <c r="A37" s="37" t="n">
        <v>32</v>
      </c>
      <c r="B37" s="31">
        <f>IF(INDEX(Klassenliste!$B$6:$B$40,32)=0,"",INDEX(Klassenliste!$B$6:$B$40,32))</f>
        <v/>
      </c>
      <c r="C37" s="31">
        <f>IF(INDEX(Klassenliste!$C$6:$C$40,32)=0,"",INDEX(Klassenliste!$C$6:$C$40,32))</f>
        <v/>
      </c>
      <c r="D37" s="19">
        <f>IF($B37="","",COUNTIF(G37:AJ37,"*M*"))</f>
        <v/>
      </c>
      <c r="E37" s="19">
        <f>IF($B37="","",COUNTIF(G37:AJ37,"*L*"))</f>
        <v/>
      </c>
      <c r="F37" s="38">
        <f>IF($B37="","",COUNTIF(G37:AJ37,"*i*"))</f>
        <v/>
      </c>
      <c r="G37" s="39" t="inlineStr"/>
      <c r="H37" s="39" t="inlineStr"/>
      <c r="I37" s="39" t="inlineStr"/>
      <c r="J37" s="39" t="inlineStr"/>
      <c r="K37" s="40" t="inlineStr"/>
      <c r="L37" s="39" t="inlineStr"/>
      <c r="M37" s="39" t="inlineStr"/>
      <c r="N37" s="39" t="inlineStr"/>
      <c r="O37" s="39" t="inlineStr"/>
      <c r="P37" s="40" t="inlineStr"/>
      <c r="Q37" s="39" t="inlineStr"/>
      <c r="R37" s="39" t="inlineStr"/>
      <c r="S37" s="39" t="inlineStr"/>
      <c r="T37" s="39" t="inlineStr"/>
      <c r="U37" s="40" t="inlineStr"/>
      <c r="V37" s="39" t="inlineStr"/>
      <c r="W37" s="39" t="inlineStr"/>
      <c r="X37" s="39" t="inlineStr"/>
      <c r="Y37" s="39" t="inlineStr"/>
      <c r="Z37" s="40" t="inlineStr"/>
      <c r="AA37" s="39" t="inlineStr"/>
      <c r="AB37" s="39" t="inlineStr"/>
      <c r="AC37" s="39" t="inlineStr"/>
      <c r="AD37" s="39" t="inlineStr"/>
      <c r="AE37" s="40" t="inlineStr"/>
      <c r="AF37" s="39" t="inlineStr"/>
      <c r="AG37" s="39" t="inlineStr"/>
      <c r="AH37" s="39" t="inlineStr"/>
      <c r="AI37" s="39" t="inlineStr"/>
      <c r="AJ37" s="40" t="inlineStr"/>
    </row>
    <row r="38">
      <c r="A38" s="37" t="n">
        <v>33</v>
      </c>
      <c r="B38" s="31">
        <f>IF(INDEX(Klassenliste!$B$6:$B$40,33)=0,"",INDEX(Klassenliste!$B$6:$B$40,33))</f>
        <v/>
      </c>
      <c r="C38" s="31">
        <f>IF(INDEX(Klassenliste!$C$6:$C$40,33)=0,"",INDEX(Klassenliste!$C$6:$C$40,33))</f>
        <v/>
      </c>
      <c r="D38" s="19">
        <f>IF($B38="","",COUNTIF(G38:AJ38,"*M*"))</f>
        <v/>
      </c>
      <c r="E38" s="19">
        <f>IF($B38="","",COUNTIF(G38:AJ38,"*L*"))</f>
        <v/>
      </c>
      <c r="F38" s="38">
        <f>IF($B38="","",COUNTIF(G38:AJ38,"*i*"))</f>
        <v/>
      </c>
      <c r="G38" s="39" t="inlineStr"/>
      <c r="H38" s="39" t="inlineStr"/>
      <c r="I38" s="39" t="inlineStr"/>
      <c r="J38" s="39" t="inlineStr"/>
      <c r="K38" s="40" t="inlineStr"/>
      <c r="L38" s="39" t="inlineStr"/>
      <c r="M38" s="39" t="inlineStr"/>
      <c r="N38" s="39" t="inlineStr"/>
      <c r="O38" s="39" t="inlineStr"/>
      <c r="P38" s="40" t="inlineStr"/>
      <c r="Q38" s="39" t="inlineStr"/>
      <c r="R38" s="39" t="inlineStr"/>
      <c r="S38" s="39" t="inlineStr"/>
      <c r="T38" s="39" t="inlineStr"/>
      <c r="U38" s="40" t="inlineStr"/>
      <c r="V38" s="39" t="inlineStr"/>
      <c r="W38" s="39" t="inlineStr"/>
      <c r="X38" s="39" t="inlineStr"/>
      <c r="Y38" s="39" t="inlineStr"/>
      <c r="Z38" s="40" t="inlineStr"/>
      <c r="AA38" s="39" t="inlineStr"/>
      <c r="AB38" s="39" t="inlineStr"/>
      <c r="AC38" s="39" t="inlineStr"/>
      <c r="AD38" s="39" t="inlineStr"/>
      <c r="AE38" s="40" t="inlineStr"/>
      <c r="AF38" s="39" t="inlineStr"/>
      <c r="AG38" s="39" t="inlineStr"/>
      <c r="AH38" s="39" t="inlineStr"/>
      <c r="AI38" s="39" t="inlineStr"/>
      <c r="AJ38" s="40" t="inlineStr"/>
    </row>
    <row r="39">
      <c r="A39" s="37" t="n">
        <v>34</v>
      </c>
      <c r="B39" s="31">
        <f>IF(INDEX(Klassenliste!$B$6:$B$40,34)=0,"",INDEX(Klassenliste!$B$6:$B$40,34))</f>
        <v/>
      </c>
      <c r="C39" s="31">
        <f>IF(INDEX(Klassenliste!$C$6:$C$40,34)=0,"",INDEX(Klassenliste!$C$6:$C$40,34))</f>
        <v/>
      </c>
      <c r="D39" s="19">
        <f>IF($B39="","",COUNTIF(G39:AJ39,"*M*"))</f>
        <v/>
      </c>
      <c r="E39" s="19">
        <f>IF($B39="","",COUNTIF(G39:AJ39,"*L*"))</f>
        <v/>
      </c>
      <c r="F39" s="38">
        <f>IF($B39="","",COUNTIF(G39:AJ39,"*i*"))</f>
        <v/>
      </c>
      <c r="G39" s="39" t="inlineStr"/>
      <c r="H39" s="39" t="inlineStr"/>
      <c r="I39" s="39" t="inlineStr"/>
      <c r="J39" s="39" t="inlineStr"/>
      <c r="K39" s="40" t="inlineStr"/>
      <c r="L39" s="39" t="inlineStr"/>
      <c r="M39" s="39" t="inlineStr"/>
      <c r="N39" s="39" t="inlineStr"/>
      <c r="O39" s="39" t="inlineStr"/>
      <c r="P39" s="40" t="inlineStr"/>
      <c r="Q39" s="39" t="inlineStr"/>
      <c r="R39" s="39" t="inlineStr"/>
      <c r="S39" s="39" t="inlineStr"/>
      <c r="T39" s="39" t="inlineStr"/>
      <c r="U39" s="40" t="inlineStr"/>
      <c r="V39" s="39" t="inlineStr"/>
      <c r="W39" s="39" t="inlineStr"/>
      <c r="X39" s="39" t="inlineStr"/>
      <c r="Y39" s="39" t="inlineStr"/>
      <c r="Z39" s="40" t="inlineStr"/>
      <c r="AA39" s="39" t="inlineStr"/>
      <c r="AB39" s="39" t="inlineStr"/>
      <c r="AC39" s="39" t="inlineStr"/>
      <c r="AD39" s="39" t="inlineStr"/>
      <c r="AE39" s="40" t="inlineStr"/>
      <c r="AF39" s="39" t="inlineStr"/>
      <c r="AG39" s="39" t="inlineStr"/>
      <c r="AH39" s="39" t="inlineStr"/>
      <c r="AI39" s="39" t="inlineStr"/>
      <c r="AJ39" s="40" t="inlineStr"/>
    </row>
    <row r="40">
      <c r="A40" s="37" t="n">
        <v>35</v>
      </c>
      <c r="B40" s="31">
        <f>IF(INDEX(Klassenliste!$B$6:$B$40,35)=0,"",INDEX(Klassenliste!$B$6:$B$40,35))</f>
        <v/>
      </c>
      <c r="C40" s="31">
        <f>IF(INDEX(Klassenliste!$C$6:$C$40,35)=0,"",INDEX(Klassenliste!$C$6:$C$40,35))</f>
        <v/>
      </c>
      <c r="D40" s="19">
        <f>IF($B40="","",COUNTIF(G40:AJ40,"*M*"))</f>
        <v/>
      </c>
      <c r="E40" s="19">
        <f>IF($B40="","",COUNTIF(G40:AJ40,"*L*"))</f>
        <v/>
      </c>
      <c r="F40" s="38">
        <f>IF($B40="","",COUNTIF(G40:AJ40,"*i*"))</f>
        <v/>
      </c>
      <c r="G40" s="39" t="inlineStr"/>
      <c r="H40" s="39" t="inlineStr"/>
      <c r="I40" s="39" t="inlineStr"/>
      <c r="J40" s="39" t="inlineStr"/>
      <c r="K40" s="40" t="inlineStr"/>
      <c r="L40" s="39" t="inlineStr"/>
      <c r="M40" s="39" t="inlineStr"/>
      <c r="N40" s="39" t="inlineStr"/>
      <c r="O40" s="39" t="inlineStr"/>
      <c r="P40" s="40" t="inlineStr"/>
      <c r="Q40" s="39" t="inlineStr"/>
      <c r="R40" s="39" t="inlineStr"/>
      <c r="S40" s="39" t="inlineStr"/>
      <c r="T40" s="39" t="inlineStr"/>
      <c r="U40" s="40" t="inlineStr"/>
      <c r="V40" s="39" t="inlineStr"/>
      <c r="W40" s="39" t="inlineStr"/>
      <c r="X40" s="39" t="inlineStr"/>
      <c r="Y40" s="39" t="inlineStr"/>
      <c r="Z40" s="40" t="inlineStr"/>
      <c r="AA40" s="39" t="inlineStr"/>
      <c r="AB40" s="39" t="inlineStr"/>
      <c r="AC40" s="39" t="inlineStr"/>
      <c r="AD40" s="39" t="inlineStr"/>
      <c r="AE40" s="40" t="inlineStr"/>
      <c r="AF40" s="39" t="inlineStr"/>
      <c r="AG40" s="39" t="inlineStr"/>
      <c r="AH40" s="39" t="inlineStr"/>
      <c r="AI40" s="39" t="inlineStr"/>
      <c r="AJ40" s="40" t="inlineStr"/>
    </row>
  </sheetData>
  <sheetProtection selectLockedCells="0" selectUnlockedCells="0" sheet="1" objects="0" insertRows="1" insertHyperlinks="1" autoFilter="1" scenarios="0" formatColumns="0" deleteColumns="1" insertColumns="0" pivotTables="1" deleteRows="1" formatCells="1" formatRows="0" sort="1"/>
  <mergeCells count="1">
    <mergeCell ref="A1:AI1"/>
  </mergeCells>
  <conditionalFormatting sqref="A6:AJ40">
    <cfRule type="expression" priority="1" dxfId="1" stopIfTrue="1">
      <formula>$B6=""</formula>
    </cfRule>
  </conditionalFormatting>
  <conditionalFormatting sqref="G4:AJ4">
    <cfRule type="expression" priority="2" dxfId="4">
      <formula>G$4=TODAY()</formula>
    </cfRule>
  </conditionalFormatting>
  <dataValidations count="1">
    <dataValidation sqref="G6:AJ40" showDropDown="0" showInputMessage="0" showErrorMessage="0" allowBlank="1" type="list">
      <formula1>"M,L,i,ML,Mi,Li,MLi"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tabColor rgb="00A8C0CC"/>
    <outlinePr summaryBelow="1" summaryRight="1"/>
    <pageSetUpPr fitToPage="1"/>
  </sheetPr>
  <dimension ref="A1:AB41"/>
  <sheetViews>
    <sheetView showGridLines="0" zoomScale="10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7" customWidth="1" min="16" max="16"/>
    <col width="7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7" customWidth="1" min="26" max="26"/>
    <col width="7" customWidth="1" min="27" max="27"/>
    <col width="7" customWidth="1" min="28" max="28"/>
  </cols>
  <sheetData>
    <row r="1" ht="26" customHeight="1">
      <c r="A1" s="1" t="inlineStr">
        <is>
          <t>Notenübersicht 1. Halbjahr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8">
        <f>HYPERLINK("#Start!A1","⌂")</f>
        <v/>
      </c>
    </row>
    <row r="2" ht="14" customHeight="1">
      <c r="A2" s="12">
        <f>Klassenliste!$E$2&amp;"  ·  "&amp;Klassenliste!$J$2&amp;"  ·  "&amp;Klassenliste!$H$2&amp;""</f>
        <v/>
      </c>
      <c r="L2" s="12" t="inlineStr">
        <is>
          <t>Einheit: Notenpunkte (0–15) · leere Zellen zählen nicht · Zeile 5 über m1–m6: frei beschriften (SoMi, Referat, Kurztest …)</t>
        </is>
      </c>
    </row>
    <row r="3" ht="15" customHeight="1">
      <c r="D3" s="41" t="inlineStr">
        <is>
          <t>Quartalsnoten</t>
        </is>
      </c>
      <c r="E3" s="15" t="n"/>
      <c r="F3" s="41" t="inlineStr">
        <is>
          <t>Quartal 1  ·  S = schriftlich (KA)  ·  MA = Mitarbeit</t>
        </is>
      </c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41" t="inlineStr">
        <is>
          <t>Quartal 2</t>
        </is>
      </c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41" t="inlineStr">
        <is>
          <t>Halbjahr</t>
        </is>
      </c>
      <c r="AA3" s="15" t="n"/>
      <c r="AB3" s="15" t="n"/>
    </row>
    <row r="4">
      <c r="C4" s="12" t="inlineStr">
        <is>
          <t>Gewichtung:</t>
        </is>
      </c>
      <c r="D4" s="42" t="n">
        <v>1</v>
      </c>
      <c r="E4" s="42" t="n">
        <v>1</v>
      </c>
      <c r="F4" s="42" t="n">
        <v>1</v>
      </c>
      <c r="G4" s="42" t="n">
        <v>1</v>
      </c>
      <c r="H4" s="42" t="n">
        <v>1</v>
      </c>
      <c r="I4" s="42" t="n">
        <v>1</v>
      </c>
      <c r="J4" s="42" t="n">
        <v>1</v>
      </c>
      <c r="K4" s="42" t="n">
        <v>1</v>
      </c>
      <c r="L4" s="42" t="n">
        <v>1</v>
      </c>
      <c r="M4" s="42" t="n">
        <v>1</v>
      </c>
      <c r="N4" s="42" t="n">
        <v>1</v>
      </c>
      <c r="O4" s="42" t="n">
        <v>1</v>
      </c>
      <c r="P4" s="42" t="n">
        <v>1</v>
      </c>
      <c r="Q4" s="42" t="n">
        <v>1</v>
      </c>
      <c r="R4" s="42" t="n">
        <v>1</v>
      </c>
      <c r="S4" s="42" t="n">
        <v>1</v>
      </c>
      <c r="T4" s="42" t="n">
        <v>1</v>
      </c>
      <c r="U4" s="42" t="n">
        <v>1</v>
      </c>
      <c r="V4" s="42" t="n">
        <v>1</v>
      </c>
      <c r="W4" s="42" t="n">
        <v>1</v>
      </c>
      <c r="X4" s="42" t="n">
        <v>1</v>
      </c>
      <c r="Y4" s="42" t="n">
        <v>1</v>
      </c>
    </row>
    <row r="5" ht="30" customHeight="1">
      <c r="C5" s="12" t="inlineStr">
        <is>
          <t>KA-Nr:</t>
        </is>
      </c>
      <c r="G5" s="43" t="n">
        <v>1</v>
      </c>
      <c r="H5" s="43" t="inlineStr"/>
      <c r="I5" s="12" t="inlineStr">
        <is>
          <t>Art →</t>
        </is>
      </c>
      <c r="J5" s="44" t="inlineStr"/>
      <c r="K5" s="44" t="inlineStr"/>
      <c r="L5" s="44" t="inlineStr"/>
      <c r="M5" s="44" t="inlineStr"/>
      <c r="N5" s="44" t="inlineStr"/>
      <c r="O5" s="44" t="inlineStr"/>
      <c r="Q5" s="43" t="n">
        <v>2</v>
      </c>
      <c r="R5" s="43" t="n">
        <v>3</v>
      </c>
      <c r="S5" s="12" t="inlineStr">
        <is>
          <t>Art →</t>
        </is>
      </c>
      <c r="T5" s="44" t="inlineStr"/>
      <c r="U5" s="44" t="inlineStr"/>
      <c r="V5" s="44" t="inlineStr"/>
      <c r="W5" s="44" t="inlineStr"/>
      <c r="X5" s="44" t="inlineStr"/>
      <c r="Y5" s="44" t="inlineStr"/>
    </row>
    <row r="6" ht="18" customHeight="1">
      <c r="A6" s="17" t="inlineStr">
        <is>
          <t>Nr</t>
        </is>
      </c>
      <c r="B6" s="18" t="inlineStr">
        <is>
          <t>Name</t>
        </is>
      </c>
      <c r="C6" s="18" t="inlineStr">
        <is>
          <t>Vorname</t>
        </is>
      </c>
      <c r="D6" s="45" t="inlineStr">
        <is>
          <t>Q1</t>
        </is>
      </c>
      <c r="E6" s="17" t="inlineStr">
        <is>
          <t>Q2</t>
        </is>
      </c>
      <c r="F6" s="45" t="inlineStr">
        <is>
          <t>S (Q1)</t>
        </is>
      </c>
      <c r="G6" s="17">
        <f>IF(G$5="","(frei)","KA "&amp;G$5)</f>
        <v/>
      </c>
      <c r="H6" s="17">
        <f>IF(H$5="","(frei)","KA "&amp;H$5)</f>
        <v/>
      </c>
      <c r="I6" s="17" t="inlineStr">
        <is>
          <t>MA (Q1)</t>
        </is>
      </c>
      <c r="J6" s="46" t="inlineStr">
        <is>
          <t>m1</t>
        </is>
      </c>
      <c r="K6" s="46" t="inlineStr">
        <is>
          <t>m2</t>
        </is>
      </c>
      <c r="L6" s="46" t="inlineStr">
        <is>
          <t>m3</t>
        </is>
      </c>
      <c r="M6" s="46" t="inlineStr">
        <is>
          <t>m4</t>
        </is>
      </c>
      <c r="N6" s="46" t="inlineStr">
        <is>
          <t>m5</t>
        </is>
      </c>
      <c r="O6" s="46" t="inlineStr">
        <is>
          <t>m6</t>
        </is>
      </c>
      <c r="P6" s="45" t="inlineStr">
        <is>
          <t>S (Q2)</t>
        </is>
      </c>
      <c r="Q6" s="17">
        <f>IF(Q$5="","(frei)","KA "&amp;Q$5)</f>
        <v/>
      </c>
      <c r="R6" s="17">
        <f>IF(R$5="","(frei)","KA "&amp;R$5)</f>
        <v/>
      </c>
      <c r="S6" s="17" t="inlineStr">
        <is>
          <t>MA (Q2)</t>
        </is>
      </c>
      <c r="T6" s="46" t="inlineStr">
        <is>
          <t>m1</t>
        </is>
      </c>
      <c r="U6" s="46" t="inlineStr">
        <is>
          <t>m2</t>
        </is>
      </c>
      <c r="V6" s="46" t="inlineStr">
        <is>
          <t>m3</t>
        </is>
      </c>
      <c r="W6" s="46" t="inlineStr">
        <is>
          <t>m4</t>
        </is>
      </c>
      <c r="X6" s="46" t="inlineStr">
        <is>
          <t>m5</t>
        </is>
      </c>
      <c r="Y6" s="46" t="inlineStr">
        <is>
          <t>m6</t>
        </is>
      </c>
      <c r="Z6" s="45" t="inlineStr">
        <is>
          <t>HJ Ø</t>
        </is>
      </c>
      <c r="AA6" s="17" t="inlineStr">
        <is>
          <t>HJ Pkt</t>
        </is>
      </c>
      <c r="AB6" s="17" t="inlineStr">
        <is>
          <t>Note</t>
        </is>
      </c>
    </row>
    <row r="7">
      <c r="A7" s="37" t="n">
        <v>1</v>
      </c>
      <c r="B7" s="31">
        <f>IF(INDEX(Klassenliste!$B$6:$B$40,1)=0,"",INDEX(Klassenliste!$B$6:$B$40,1))</f>
        <v/>
      </c>
      <c r="C7" s="31">
        <f>IF(INDEX(Klassenliste!$C$6:$C$40,1)=0,"",INDEX(Klassenliste!$C$6:$C$40,1))</f>
        <v/>
      </c>
      <c r="D7" s="47">
        <f>IF(((--ISNUMBER(F7))*$F$4+(--ISNUMBER(I7))*$I$4)=0,"",(IFERROR(F7*$F$4,0)+IFERROR(I7*$I$4,0))/((--ISNUMBER(F7))*$F$4+(--ISNUMBER(I7))*$I$4))</f>
        <v/>
      </c>
      <c r="E7" s="48">
        <f>IF(((--ISNUMBER(P7))*$P$4+(--ISNUMBER(S7))*$S$4)=0,"",(IFERROR(P7*$P$4,0)+IFERROR(S7*$S$4,0))/((--ISNUMBER(P7))*$P$4+(--ISNUMBER(S7))*$S$4))</f>
        <v/>
      </c>
      <c r="F7" s="47">
        <f>IF(SUMPRODUCT(--ISNUMBER(G7:H7),$G$4:$H$4)=0,"",SUMPRODUCT(G7:H7,$G$4:$H$4)/SUMPRODUCT(--ISNUMBER(G7:H7),$G$4:$H$4))</f>
        <v/>
      </c>
      <c r="G7" s="19">
        <f>IF(G$5="","",CHOOSE(G$5,KA1!$R8,KA2!$R8,KA3!$R8,KA4!$R8,KA5!$R8,KA6!$R8))</f>
        <v/>
      </c>
      <c r="H7" s="19">
        <f>IF(H$5="","",CHOOSE(H$5,KA1!$R8,KA2!$R8,KA3!$R8,KA4!$R8,KA5!$R8,KA6!$R8))</f>
        <v/>
      </c>
      <c r="I7" s="48">
        <f>IF(SUMPRODUCT(--ISNUMBER(J7:O7),$J$4:$O$4)=0,"",SUMPRODUCT(J7:O7,$J$4:$O$4)/SUMPRODUCT(--ISNUMBER(J7:O7),$J$4:$O$4))</f>
        <v/>
      </c>
      <c r="J7" s="49" t="inlineStr"/>
      <c r="K7" s="49" t="inlineStr"/>
      <c r="L7" s="49" t="inlineStr"/>
      <c r="M7" s="49" t="inlineStr"/>
      <c r="N7" s="49" t="inlineStr"/>
      <c r="O7" s="49" t="inlineStr"/>
      <c r="P7" s="47">
        <f>IF(SUMPRODUCT(--ISNUMBER(Q7:R7),$Q$4:$R$4)=0,"",SUMPRODUCT(Q7:R7,$Q$4:$R$4)/SUMPRODUCT(--ISNUMBER(Q7:R7),$Q$4:$R$4))</f>
        <v/>
      </c>
      <c r="Q7" s="19">
        <f>IF(Q$5="","",CHOOSE(Q$5,KA1!$R8,KA2!$R8,KA3!$R8,KA4!$R8,KA5!$R8,KA6!$R8))</f>
        <v/>
      </c>
      <c r="R7" s="19">
        <f>IF(R$5="","",CHOOSE(R$5,KA1!$R8,KA2!$R8,KA3!$R8,KA4!$R8,KA5!$R8,KA6!$R8))</f>
        <v/>
      </c>
      <c r="S7" s="48">
        <f>IF(SUMPRODUCT(--ISNUMBER(T7:Y7),$T$4:$Y$4)=0,"",SUMPRODUCT(T7:Y7,$T$4:$Y$4)/SUMPRODUCT(--ISNUMBER(T7:Y7),$T$4:$Y$4))</f>
        <v/>
      </c>
      <c r="T7" s="49" t="inlineStr"/>
      <c r="U7" s="49" t="inlineStr"/>
      <c r="V7" s="49" t="inlineStr"/>
      <c r="W7" s="49" t="inlineStr"/>
      <c r="X7" s="49" t="inlineStr"/>
      <c r="Y7" s="49" t="inlineStr"/>
      <c r="Z7" s="47">
        <f>IF(((--ISNUMBER(D7))*$D$4+(--ISNUMBER(E7))*$E$4)=0,"",(IFERROR(D7*$D$4,0)+IFERROR(E7*$E$4,0))/((--ISNUMBER(D7))*$D$4+(--ISNUMBER(E7))*$E$4))</f>
        <v/>
      </c>
      <c r="AA7" s="50">
        <f>IF(Z7="","",ROUND(Z7,0))</f>
        <v/>
      </c>
      <c r="AB7" s="22">
        <f>IF(AA7="","",INDEX(Notentabelle!$B$4:$B$19,AA7+1))</f>
        <v/>
      </c>
    </row>
    <row r="8">
      <c r="A8" s="37" t="n">
        <v>2</v>
      </c>
      <c r="B8" s="31">
        <f>IF(INDEX(Klassenliste!$B$6:$B$40,2)=0,"",INDEX(Klassenliste!$B$6:$B$40,2))</f>
        <v/>
      </c>
      <c r="C8" s="31">
        <f>IF(INDEX(Klassenliste!$C$6:$C$40,2)=0,"",INDEX(Klassenliste!$C$6:$C$40,2))</f>
        <v/>
      </c>
      <c r="D8" s="47">
        <f>IF(((--ISNUMBER(F8))*$F$4+(--ISNUMBER(I8))*$I$4)=0,"",(IFERROR(F8*$F$4,0)+IFERROR(I8*$I$4,0))/((--ISNUMBER(F8))*$F$4+(--ISNUMBER(I8))*$I$4))</f>
        <v/>
      </c>
      <c r="E8" s="48">
        <f>IF(((--ISNUMBER(P8))*$P$4+(--ISNUMBER(S8))*$S$4)=0,"",(IFERROR(P8*$P$4,0)+IFERROR(S8*$S$4,0))/((--ISNUMBER(P8))*$P$4+(--ISNUMBER(S8))*$S$4))</f>
        <v/>
      </c>
      <c r="F8" s="47">
        <f>IF(SUMPRODUCT(--ISNUMBER(G8:H8),$G$4:$H$4)=0,"",SUMPRODUCT(G8:H8,$G$4:$H$4)/SUMPRODUCT(--ISNUMBER(G8:H8),$G$4:$H$4))</f>
        <v/>
      </c>
      <c r="G8" s="19">
        <f>IF(G$5="","",CHOOSE(G$5,KA1!$R9,KA2!$R9,KA3!$R9,KA4!$R9,KA5!$R9,KA6!$R9))</f>
        <v/>
      </c>
      <c r="H8" s="19">
        <f>IF(H$5="","",CHOOSE(H$5,KA1!$R9,KA2!$R9,KA3!$R9,KA4!$R9,KA5!$R9,KA6!$R9))</f>
        <v/>
      </c>
      <c r="I8" s="48">
        <f>IF(SUMPRODUCT(--ISNUMBER(J8:O8),$J$4:$O$4)=0,"",SUMPRODUCT(J8:O8,$J$4:$O$4)/SUMPRODUCT(--ISNUMBER(J8:O8),$J$4:$O$4))</f>
        <v/>
      </c>
      <c r="J8" s="49" t="inlineStr"/>
      <c r="K8" s="49" t="inlineStr"/>
      <c r="L8" s="49" t="inlineStr"/>
      <c r="M8" s="49" t="inlineStr"/>
      <c r="N8" s="49" t="inlineStr"/>
      <c r="O8" s="49" t="inlineStr"/>
      <c r="P8" s="47">
        <f>IF(SUMPRODUCT(--ISNUMBER(Q8:R8),$Q$4:$R$4)=0,"",SUMPRODUCT(Q8:R8,$Q$4:$R$4)/SUMPRODUCT(--ISNUMBER(Q8:R8),$Q$4:$R$4))</f>
        <v/>
      </c>
      <c r="Q8" s="19">
        <f>IF(Q$5="","",CHOOSE(Q$5,KA1!$R9,KA2!$R9,KA3!$R9,KA4!$R9,KA5!$R9,KA6!$R9))</f>
        <v/>
      </c>
      <c r="R8" s="19">
        <f>IF(R$5="","",CHOOSE(R$5,KA1!$R9,KA2!$R9,KA3!$R9,KA4!$R9,KA5!$R9,KA6!$R9))</f>
        <v/>
      </c>
      <c r="S8" s="48">
        <f>IF(SUMPRODUCT(--ISNUMBER(T8:Y8),$T$4:$Y$4)=0,"",SUMPRODUCT(T8:Y8,$T$4:$Y$4)/SUMPRODUCT(--ISNUMBER(T8:Y8),$T$4:$Y$4))</f>
        <v/>
      </c>
      <c r="T8" s="49" t="inlineStr"/>
      <c r="U8" s="49" t="inlineStr"/>
      <c r="V8" s="49" t="inlineStr"/>
      <c r="W8" s="49" t="inlineStr"/>
      <c r="X8" s="49" t="inlineStr"/>
      <c r="Y8" s="49" t="inlineStr"/>
      <c r="Z8" s="47">
        <f>IF(((--ISNUMBER(D8))*$D$4+(--ISNUMBER(E8))*$E$4)=0,"",(IFERROR(D8*$D$4,0)+IFERROR(E8*$E$4,0))/((--ISNUMBER(D8))*$D$4+(--ISNUMBER(E8))*$E$4))</f>
        <v/>
      </c>
      <c r="AA8" s="50">
        <f>IF(Z8="","",ROUND(Z8,0))</f>
        <v/>
      </c>
      <c r="AB8" s="22">
        <f>IF(AA8="","",INDEX(Notentabelle!$B$4:$B$19,AA8+1))</f>
        <v/>
      </c>
    </row>
    <row r="9">
      <c r="A9" s="37" t="n">
        <v>3</v>
      </c>
      <c r="B9" s="31">
        <f>IF(INDEX(Klassenliste!$B$6:$B$40,3)=0,"",INDEX(Klassenliste!$B$6:$B$40,3))</f>
        <v/>
      </c>
      <c r="C9" s="31">
        <f>IF(INDEX(Klassenliste!$C$6:$C$40,3)=0,"",INDEX(Klassenliste!$C$6:$C$40,3))</f>
        <v/>
      </c>
      <c r="D9" s="47">
        <f>IF(((--ISNUMBER(F9))*$F$4+(--ISNUMBER(I9))*$I$4)=0,"",(IFERROR(F9*$F$4,0)+IFERROR(I9*$I$4,0))/((--ISNUMBER(F9))*$F$4+(--ISNUMBER(I9))*$I$4))</f>
        <v/>
      </c>
      <c r="E9" s="48">
        <f>IF(((--ISNUMBER(P9))*$P$4+(--ISNUMBER(S9))*$S$4)=0,"",(IFERROR(P9*$P$4,0)+IFERROR(S9*$S$4,0))/((--ISNUMBER(P9))*$P$4+(--ISNUMBER(S9))*$S$4))</f>
        <v/>
      </c>
      <c r="F9" s="47">
        <f>IF(SUMPRODUCT(--ISNUMBER(G9:H9),$G$4:$H$4)=0,"",SUMPRODUCT(G9:H9,$G$4:$H$4)/SUMPRODUCT(--ISNUMBER(G9:H9),$G$4:$H$4))</f>
        <v/>
      </c>
      <c r="G9" s="19">
        <f>IF(G$5="","",CHOOSE(G$5,KA1!$R10,KA2!$R10,KA3!$R10,KA4!$R10,KA5!$R10,KA6!$R10))</f>
        <v/>
      </c>
      <c r="H9" s="19">
        <f>IF(H$5="","",CHOOSE(H$5,KA1!$R10,KA2!$R10,KA3!$R10,KA4!$R10,KA5!$R10,KA6!$R10))</f>
        <v/>
      </c>
      <c r="I9" s="48">
        <f>IF(SUMPRODUCT(--ISNUMBER(J9:O9),$J$4:$O$4)=0,"",SUMPRODUCT(J9:O9,$J$4:$O$4)/SUMPRODUCT(--ISNUMBER(J9:O9),$J$4:$O$4))</f>
        <v/>
      </c>
      <c r="J9" s="49" t="inlineStr"/>
      <c r="K9" s="49" t="inlineStr"/>
      <c r="L9" s="49" t="inlineStr"/>
      <c r="M9" s="49" t="inlineStr"/>
      <c r="N9" s="49" t="inlineStr"/>
      <c r="O9" s="49" t="inlineStr"/>
      <c r="P9" s="47">
        <f>IF(SUMPRODUCT(--ISNUMBER(Q9:R9),$Q$4:$R$4)=0,"",SUMPRODUCT(Q9:R9,$Q$4:$R$4)/SUMPRODUCT(--ISNUMBER(Q9:R9),$Q$4:$R$4))</f>
        <v/>
      </c>
      <c r="Q9" s="19">
        <f>IF(Q$5="","",CHOOSE(Q$5,KA1!$R10,KA2!$R10,KA3!$R10,KA4!$R10,KA5!$R10,KA6!$R10))</f>
        <v/>
      </c>
      <c r="R9" s="19">
        <f>IF(R$5="","",CHOOSE(R$5,KA1!$R10,KA2!$R10,KA3!$R10,KA4!$R10,KA5!$R10,KA6!$R10))</f>
        <v/>
      </c>
      <c r="S9" s="48">
        <f>IF(SUMPRODUCT(--ISNUMBER(T9:Y9),$T$4:$Y$4)=0,"",SUMPRODUCT(T9:Y9,$T$4:$Y$4)/SUMPRODUCT(--ISNUMBER(T9:Y9),$T$4:$Y$4))</f>
        <v/>
      </c>
      <c r="T9" s="49" t="inlineStr"/>
      <c r="U9" s="49" t="inlineStr"/>
      <c r="V9" s="49" t="inlineStr"/>
      <c r="W9" s="49" t="inlineStr"/>
      <c r="X9" s="49" t="inlineStr"/>
      <c r="Y9" s="49" t="inlineStr"/>
      <c r="Z9" s="47">
        <f>IF(((--ISNUMBER(D9))*$D$4+(--ISNUMBER(E9))*$E$4)=0,"",(IFERROR(D9*$D$4,0)+IFERROR(E9*$E$4,0))/((--ISNUMBER(D9))*$D$4+(--ISNUMBER(E9))*$E$4))</f>
        <v/>
      </c>
      <c r="AA9" s="50">
        <f>IF(Z9="","",ROUND(Z9,0))</f>
        <v/>
      </c>
      <c r="AB9" s="22">
        <f>IF(AA9="","",INDEX(Notentabelle!$B$4:$B$19,AA9+1))</f>
        <v/>
      </c>
    </row>
    <row r="10">
      <c r="A10" s="37" t="n">
        <v>4</v>
      </c>
      <c r="B10" s="31">
        <f>IF(INDEX(Klassenliste!$B$6:$B$40,4)=0,"",INDEX(Klassenliste!$B$6:$B$40,4))</f>
        <v/>
      </c>
      <c r="C10" s="31">
        <f>IF(INDEX(Klassenliste!$C$6:$C$40,4)=0,"",INDEX(Klassenliste!$C$6:$C$40,4))</f>
        <v/>
      </c>
      <c r="D10" s="47">
        <f>IF(((--ISNUMBER(F10))*$F$4+(--ISNUMBER(I10))*$I$4)=0,"",(IFERROR(F10*$F$4,0)+IFERROR(I10*$I$4,0))/((--ISNUMBER(F10))*$F$4+(--ISNUMBER(I10))*$I$4))</f>
        <v/>
      </c>
      <c r="E10" s="48">
        <f>IF(((--ISNUMBER(P10))*$P$4+(--ISNUMBER(S10))*$S$4)=0,"",(IFERROR(P10*$P$4,0)+IFERROR(S10*$S$4,0))/((--ISNUMBER(P10))*$P$4+(--ISNUMBER(S10))*$S$4))</f>
        <v/>
      </c>
      <c r="F10" s="47">
        <f>IF(SUMPRODUCT(--ISNUMBER(G10:H10),$G$4:$H$4)=0,"",SUMPRODUCT(G10:H10,$G$4:$H$4)/SUMPRODUCT(--ISNUMBER(G10:H10),$G$4:$H$4))</f>
        <v/>
      </c>
      <c r="G10" s="19">
        <f>IF(G$5="","",CHOOSE(G$5,KA1!$R11,KA2!$R11,KA3!$R11,KA4!$R11,KA5!$R11,KA6!$R11))</f>
        <v/>
      </c>
      <c r="H10" s="19">
        <f>IF(H$5="","",CHOOSE(H$5,KA1!$R11,KA2!$R11,KA3!$R11,KA4!$R11,KA5!$R11,KA6!$R11))</f>
        <v/>
      </c>
      <c r="I10" s="48">
        <f>IF(SUMPRODUCT(--ISNUMBER(J10:O10),$J$4:$O$4)=0,"",SUMPRODUCT(J10:O10,$J$4:$O$4)/SUMPRODUCT(--ISNUMBER(J10:O10),$J$4:$O$4))</f>
        <v/>
      </c>
      <c r="J10" s="49" t="inlineStr"/>
      <c r="K10" s="49" t="inlineStr"/>
      <c r="L10" s="49" t="inlineStr"/>
      <c r="M10" s="49" t="inlineStr"/>
      <c r="N10" s="49" t="inlineStr"/>
      <c r="O10" s="49" t="inlineStr"/>
      <c r="P10" s="47">
        <f>IF(SUMPRODUCT(--ISNUMBER(Q10:R10),$Q$4:$R$4)=0,"",SUMPRODUCT(Q10:R10,$Q$4:$R$4)/SUMPRODUCT(--ISNUMBER(Q10:R10),$Q$4:$R$4))</f>
        <v/>
      </c>
      <c r="Q10" s="19">
        <f>IF(Q$5="","",CHOOSE(Q$5,KA1!$R11,KA2!$R11,KA3!$R11,KA4!$R11,KA5!$R11,KA6!$R11))</f>
        <v/>
      </c>
      <c r="R10" s="19">
        <f>IF(R$5="","",CHOOSE(R$5,KA1!$R11,KA2!$R11,KA3!$R11,KA4!$R11,KA5!$R11,KA6!$R11))</f>
        <v/>
      </c>
      <c r="S10" s="48">
        <f>IF(SUMPRODUCT(--ISNUMBER(T10:Y10),$T$4:$Y$4)=0,"",SUMPRODUCT(T10:Y10,$T$4:$Y$4)/SUMPRODUCT(--ISNUMBER(T10:Y10),$T$4:$Y$4))</f>
        <v/>
      </c>
      <c r="T10" s="49" t="inlineStr"/>
      <c r="U10" s="49" t="inlineStr"/>
      <c r="V10" s="49" t="inlineStr"/>
      <c r="W10" s="49" t="inlineStr"/>
      <c r="X10" s="49" t="inlineStr"/>
      <c r="Y10" s="49" t="inlineStr"/>
      <c r="Z10" s="47">
        <f>IF(((--ISNUMBER(D10))*$D$4+(--ISNUMBER(E10))*$E$4)=0,"",(IFERROR(D10*$D$4,0)+IFERROR(E10*$E$4,0))/((--ISNUMBER(D10))*$D$4+(--ISNUMBER(E10))*$E$4))</f>
        <v/>
      </c>
      <c r="AA10" s="50">
        <f>IF(Z10="","",ROUND(Z10,0))</f>
        <v/>
      </c>
      <c r="AB10" s="22">
        <f>IF(AA10="","",INDEX(Notentabelle!$B$4:$B$19,AA10+1))</f>
        <v/>
      </c>
    </row>
    <row r="11">
      <c r="A11" s="37" t="n">
        <v>5</v>
      </c>
      <c r="B11" s="31">
        <f>IF(INDEX(Klassenliste!$B$6:$B$40,5)=0,"",INDEX(Klassenliste!$B$6:$B$40,5))</f>
        <v/>
      </c>
      <c r="C11" s="31">
        <f>IF(INDEX(Klassenliste!$C$6:$C$40,5)=0,"",INDEX(Klassenliste!$C$6:$C$40,5))</f>
        <v/>
      </c>
      <c r="D11" s="47">
        <f>IF(((--ISNUMBER(F11))*$F$4+(--ISNUMBER(I11))*$I$4)=0,"",(IFERROR(F11*$F$4,0)+IFERROR(I11*$I$4,0))/((--ISNUMBER(F11))*$F$4+(--ISNUMBER(I11))*$I$4))</f>
        <v/>
      </c>
      <c r="E11" s="48">
        <f>IF(((--ISNUMBER(P11))*$P$4+(--ISNUMBER(S11))*$S$4)=0,"",(IFERROR(P11*$P$4,0)+IFERROR(S11*$S$4,0))/((--ISNUMBER(P11))*$P$4+(--ISNUMBER(S11))*$S$4))</f>
        <v/>
      </c>
      <c r="F11" s="47">
        <f>IF(SUMPRODUCT(--ISNUMBER(G11:H11),$G$4:$H$4)=0,"",SUMPRODUCT(G11:H11,$G$4:$H$4)/SUMPRODUCT(--ISNUMBER(G11:H11),$G$4:$H$4))</f>
        <v/>
      </c>
      <c r="G11" s="19">
        <f>IF(G$5="","",CHOOSE(G$5,KA1!$R12,KA2!$R12,KA3!$R12,KA4!$R12,KA5!$R12,KA6!$R12))</f>
        <v/>
      </c>
      <c r="H11" s="19">
        <f>IF(H$5="","",CHOOSE(H$5,KA1!$R12,KA2!$R12,KA3!$R12,KA4!$R12,KA5!$R12,KA6!$R12))</f>
        <v/>
      </c>
      <c r="I11" s="48">
        <f>IF(SUMPRODUCT(--ISNUMBER(J11:O11),$J$4:$O$4)=0,"",SUMPRODUCT(J11:O11,$J$4:$O$4)/SUMPRODUCT(--ISNUMBER(J11:O11),$J$4:$O$4))</f>
        <v/>
      </c>
      <c r="J11" s="49" t="inlineStr"/>
      <c r="K11" s="49" t="inlineStr"/>
      <c r="L11" s="49" t="inlineStr"/>
      <c r="M11" s="49" t="inlineStr"/>
      <c r="N11" s="49" t="inlineStr"/>
      <c r="O11" s="49" t="inlineStr"/>
      <c r="P11" s="47">
        <f>IF(SUMPRODUCT(--ISNUMBER(Q11:R11),$Q$4:$R$4)=0,"",SUMPRODUCT(Q11:R11,$Q$4:$R$4)/SUMPRODUCT(--ISNUMBER(Q11:R11),$Q$4:$R$4))</f>
        <v/>
      </c>
      <c r="Q11" s="19">
        <f>IF(Q$5="","",CHOOSE(Q$5,KA1!$R12,KA2!$R12,KA3!$R12,KA4!$R12,KA5!$R12,KA6!$R12))</f>
        <v/>
      </c>
      <c r="R11" s="19">
        <f>IF(R$5="","",CHOOSE(R$5,KA1!$R12,KA2!$R12,KA3!$R12,KA4!$R12,KA5!$R12,KA6!$R12))</f>
        <v/>
      </c>
      <c r="S11" s="48">
        <f>IF(SUMPRODUCT(--ISNUMBER(T11:Y11),$T$4:$Y$4)=0,"",SUMPRODUCT(T11:Y11,$T$4:$Y$4)/SUMPRODUCT(--ISNUMBER(T11:Y11),$T$4:$Y$4))</f>
        <v/>
      </c>
      <c r="T11" s="49" t="inlineStr"/>
      <c r="U11" s="49" t="inlineStr"/>
      <c r="V11" s="49" t="inlineStr"/>
      <c r="W11" s="49" t="inlineStr"/>
      <c r="X11" s="49" t="inlineStr"/>
      <c r="Y11" s="49" t="inlineStr"/>
      <c r="Z11" s="47">
        <f>IF(((--ISNUMBER(D11))*$D$4+(--ISNUMBER(E11))*$E$4)=0,"",(IFERROR(D11*$D$4,0)+IFERROR(E11*$E$4,0))/((--ISNUMBER(D11))*$D$4+(--ISNUMBER(E11))*$E$4))</f>
        <v/>
      </c>
      <c r="AA11" s="50">
        <f>IF(Z11="","",ROUND(Z11,0))</f>
        <v/>
      </c>
      <c r="AB11" s="22">
        <f>IF(AA11="","",INDEX(Notentabelle!$B$4:$B$19,AA11+1))</f>
        <v/>
      </c>
    </row>
    <row r="12">
      <c r="A12" s="37" t="n">
        <v>6</v>
      </c>
      <c r="B12" s="31">
        <f>IF(INDEX(Klassenliste!$B$6:$B$40,6)=0,"",INDEX(Klassenliste!$B$6:$B$40,6))</f>
        <v/>
      </c>
      <c r="C12" s="31">
        <f>IF(INDEX(Klassenliste!$C$6:$C$40,6)=0,"",INDEX(Klassenliste!$C$6:$C$40,6))</f>
        <v/>
      </c>
      <c r="D12" s="47">
        <f>IF(((--ISNUMBER(F12))*$F$4+(--ISNUMBER(I12))*$I$4)=0,"",(IFERROR(F12*$F$4,0)+IFERROR(I12*$I$4,0))/((--ISNUMBER(F12))*$F$4+(--ISNUMBER(I12))*$I$4))</f>
        <v/>
      </c>
      <c r="E12" s="48">
        <f>IF(((--ISNUMBER(P12))*$P$4+(--ISNUMBER(S12))*$S$4)=0,"",(IFERROR(P12*$P$4,0)+IFERROR(S12*$S$4,0))/((--ISNUMBER(P12))*$P$4+(--ISNUMBER(S12))*$S$4))</f>
        <v/>
      </c>
      <c r="F12" s="47">
        <f>IF(SUMPRODUCT(--ISNUMBER(G12:H12),$G$4:$H$4)=0,"",SUMPRODUCT(G12:H12,$G$4:$H$4)/SUMPRODUCT(--ISNUMBER(G12:H12),$G$4:$H$4))</f>
        <v/>
      </c>
      <c r="G12" s="19">
        <f>IF(G$5="","",CHOOSE(G$5,KA1!$R13,KA2!$R13,KA3!$R13,KA4!$R13,KA5!$R13,KA6!$R13))</f>
        <v/>
      </c>
      <c r="H12" s="19">
        <f>IF(H$5="","",CHOOSE(H$5,KA1!$R13,KA2!$R13,KA3!$R13,KA4!$R13,KA5!$R13,KA6!$R13))</f>
        <v/>
      </c>
      <c r="I12" s="48">
        <f>IF(SUMPRODUCT(--ISNUMBER(J12:O12),$J$4:$O$4)=0,"",SUMPRODUCT(J12:O12,$J$4:$O$4)/SUMPRODUCT(--ISNUMBER(J12:O12),$J$4:$O$4))</f>
        <v/>
      </c>
      <c r="J12" s="49" t="inlineStr"/>
      <c r="K12" s="49" t="inlineStr"/>
      <c r="L12" s="49" t="inlineStr"/>
      <c r="M12" s="49" t="inlineStr"/>
      <c r="N12" s="49" t="inlineStr"/>
      <c r="O12" s="49" t="inlineStr"/>
      <c r="P12" s="47">
        <f>IF(SUMPRODUCT(--ISNUMBER(Q12:R12),$Q$4:$R$4)=0,"",SUMPRODUCT(Q12:R12,$Q$4:$R$4)/SUMPRODUCT(--ISNUMBER(Q12:R12),$Q$4:$R$4))</f>
        <v/>
      </c>
      <c r="Q12" s="19">
        <f>IF(Q$5="","",CHOOSE(Q$5,KA1!$R13,KA2!$R13,KA3!$R13,KA4!$R13,KA5!$R13,KA6!$R13))</f>
        <v/>
      </c>
      <c r="R12" s="19">
        <f>IF(R$5="","",CHOOSE(R$5,KA1!$R13,KA2!$R13,KA3!$R13,KA4!$R13,KA5!$R13,KA6!$R13))</f>
        <v/>
      </c>
      <c r="S12" s="48">
        <f>IF(SUMPRODUCT(--ISNUMBER(T12:Y12),$T$4:$Y$4)=0,"",SUMPRODUCT(T12:Y12,$T$4:$Y$4)/SUMPRODUCT(--ISNUMBER(T12:Y12),$T$4:$Y$4))</f>
        <v/>
      </c>
      <c r="T12" s="49" t="inlineStr"/>
      <c r="U12" s="49" t="inlineStr"/>
      <c r="V12" s="49" t="inlineStr"/>
      <c r="W12" s="49" t="inlineStr"/>
      <c r="X12" s="49" t="inlineStr"/>
      <c r="Y12" s="49" t="inlineStr"/>
      <c r="Z12" s="47">
        <f>IF(((--ISNUMBER(D12))*$D$4+(--ISNUMBER(E12))*$E$4)=0,"",(IFERROR(D12*$D$4,0)+IFERROR(E12*$E$4,0))/((--ISNUMBER(D12))*$D$4+(--ISNUMBER(E12))*$E$4))</f>
        <v/>
      </c>
      <c r="AA12" s="50">
        <f>IF(Z12="","",ROUND(Z12,0))</f>
        <v/>
      </c>
      <c r="AB12" s="22">
        <f>IF(AA12="","",INDEX(Notentabelle!$B$4:$B$19,AA12+1))</f>
        <v/>
      </c>
    </row>
    <row r="13">
      <c r="A13" s="37" t="n">
        <v>7</v>
      </c>
      <c r="B13" s="31">
        <f>IF(INDEX(Klassenliste!$B$6:$B$40,7)=0,"",INDEX(Klassenliste!$B$6:$B$40,7))</f>
        <v/>
      </c>
      <c r="C13" s="31">
        <f>IF(INDEX(Klassenliste!$C$6:$C$40,7)=0,"",INDEX(Klassenliste!$C$6:$C$40,7))</f>
        <v/>
      </c>
      <c r="D13" s="47">
        <f>IF(((--ISNUMBER(F13))*$F$4+(--ISNUMBER(I13))*$I$4)=0,"",(IFERROR(F13*$F$4,0)+IFERROR(I13*$I$4,0))/((--ISNUMBER(F13))*$F$4+(--ISNUMBER(I13))*$I$4))</f>
        <v/>
      </c>
      <c r="E13" s="48">
        <f>IF(((--ISNUMBER(P13))*$P$4+(--ISNUMBER(S13))*$S$4)=0,"",(IFERROR(P13*$P$4,0)+IFERROR(S13*$S$4,0))/((--ISNUMBER(P13))*$P$4+(--ISNUMBER(S13))*$S$4))</f>
        <v/>
      </c>
      <c r="F13" s="47">
        <f>IF(SUMPRODUCT(--ISNUMBER(G13:H13),$G$4:$H$4)=0,"",SUMPRODUCT(G13:H13,$G$4:$H$4)/SUMPRODUCT(--ISNUMBER(G13:H13),$G$4:$H$4))</f>
        <v/>
      </c>
      <c r="G13" s="19">
        <f>IF(G$5="","",CHOOSE(G$5,KA1!$R14,KA2!$R14,KA3!$R14,KA4!$R14,KA5!$R14,KA6!$R14))</f>
        <v/>
      </c>
      <c r="H13" s="19">
        <f>IF(H$5="","",CHOOSE(H$5,KA1!$R14,KA2!$R14,KA3!$R14,KA4!$R14,KA5!$R14,KA6!$R14))</f>
        <v/>
      </c>
      <c r="I13" s="48">
        <f>IF(SUMPRODUCT(--ISNUMBER(J13:O13),$J$4:$O$4)=0,"",SUMPRODUCT(J13:O13,$J$4:$O$4)/SUMPRODUCT(--ISNUMBER(J13:O13),$J$4:$O$4))</f>
        <v/>
      </c>
      <c r="J13" s="49" t="inlineStr"/>
      <c r="K13" s="49" t="inlineStr"/>
      <c r="L13" s="49" t="inlineStr"/>
      <c r="M13" s="49" t="inlineStr"/>
      <c r="N13" s="49" t="inlineStr"/>
      <c r="O13" s="49" t="inlineStr"/>
      <c r="P13" s="47">
        <f>IF(SUMPRODUCT(--ISNUMBER(Q13:R13),$Q$4:$R$4)=0,"",SUMPRODUCT(Q13:R13,$Q$4:$R$4)/SUMPRODUCT(--ISNUMBER(Q13:R13),$Q$4:$R$4))</f>
        <v/>
      </c>
      <c r="Q13" s="19">
        <f>IF(Q$5="","",CHOOSE(Q$5,KA1!$R14,KA2!$R14,KA3!$R14,KA4!$R14,KA5!$R14,KA6!$R14))</f>
        <v/>
      </c>
      <c r="R13" s="19">
        <f>IF(R$5="","",CHOOSE(R$5,KA1!$R14,KA2!$R14,KA3!$R14,KA4!$R14,KA5!$R14,KA6!$R14))</f>
        <v/>
      </c>
      <c r="S13" s="48">
        <f>IF(SUMPRODUCT(--ISNUMBER(T13:Y13),$T$4:$Y$4)=0,"",SUMPRODUCT(T13:Y13,$T$4:$Y$4)/SUMPRODUCT(--ISNUMBER(T13:Y13),$T$4:$Y$4))</f>
        <v/>
      </c>
      <c r="T13" s="49" t="inlineStr"/>
      <c r="U13" s="49" t="inlineStr"/>
      <c r="V13" s="49" t="inlineStr"/>
      <c r="W13" s="49" t="inlineStr"/>
      <c r="X13" s="49" t="inlineStr"/>
      <c r="Y13" s="49" t="inlineStr"/>
      <c r="Z13" s="47">
        <f>IF(((--ISNUMBER(D13))*$D$4+(--ISNUMBER(E13))*$E$4)=0,"",(IFERROR(D13*$D$4,0)+IFERROR(E13*$E$4,0))/((--ISNUMBER(D13))*$D$4+(--ISNUMBER(E13))*$E$4))</f>
        <v/>
      </c>
      <c r="AA13" s="50">
        <f>IF(Z13="","",ROUND(Z13,0))</f>
        <v/>
      </c>
      <c r="AB13" s="22">
        <f>IF(AA13="","",INDEX(Notentabelle!$B$4:$B$19,AA13+1))</f>
        <v/>
      </c>
    </row>
    <row r="14">
      <c r="A14" s="37" t="n">
        <v>8</v>
      </c>
      <c r="B14" s="31">
        <f>IF(INDEX(Klassenliste!$B$6:$B$40,8)=0,"",INDEX(Klassenliste!$B$6:$B$40,8))</f>
        <v/>
      </c>
      <c r="C14" s="31">
        <f>IF(INDEX(Klassenliste!$C$6:$C$40,8)=0,"",INDEX(Klassenliste!$C$6:$C$40,8))</f>
        <v/>
      </c>
      <c r="D14" s="47">
        <f>IF(((--ISNUMBER(F14))*$F$4+(--ISNUMBER(I14))*$I$4)=0,"",(IFERROR(F14*$F$4,0)+IFERROR(I14*$I$4,0))/((--ISNUMBER(F14))*$F$4+(--ISNUMBER(I14))*$I$4))</f>
        <v/>
      </c>
      <c r="E14" s="48">
        <f>IF(((--ISNUMBER(P14))*$P$4+(--ISNUMBER(S14))*$S$4)=0,"",(IFERROR(P14*$P$4,0)+IFERROR(S14*$S$4,0))/((--ISNUMBER(P14))*$P$4+(--ISNUMBER(S14))*$S$4))</f>
        <v/>
      </c>
      <c r="F14" s="47">
        <f>IF(SUMPRODUCT(--ISNUMBER(G14:H14),$G$4:$H$4)=0,"",SUMPRODUCT(G14:H14,$G$4:$H$4)/SUMPRODUCT(--ISNUMBER(G14:H14),$G$4:$H$4))</f>
        <v/>
      </c>
      <c r="G14" s="19">
        <f>IF(G$5="","",CHOOSE(G$5,KA1!$R15,KA2!$R15,KA3!$R15,KA4!$R15,KA5!$R15,KA6!$R15))</f>
        <v/>
      </c>
      <c r="H14" s="19">
        <f>IF(H$5="","",CHOOSE(H$5,KA1!$R15,KA2!$R15,KA3!$R15,KA4!$R15,KA5!$R15,KA6!$R15))</f>
        <v/>
      </c>
      <c r="I14" s="48">
        <f>IF(SUMPRODUCT(--ISNUMBER(J14:O14),$J$4:$O$4)=0,"",SUMPRODUCT(J14:O14,$J$4:$O$4)/SUMPRODUCT(--ISNUMBER(J14:O14),$J$4:$O$4))</f>
        <v/>
      </c>
      <c r="J14" s="49" t="inlineStr"/>
      <c r="K14" s="49" t="inlineStr"/>
      <c r="L14" s="49" t="inlineStr"/>
      <c r="M14" s="49" t="inlineStr"/>
      <c r="N14" s="49" t="inlineStr"/>
      <c r="O14" s="49" t="inlineStr"/>
      <c r="P14" s="47">
        <f>IF(SUMPRODUCT(--ISNUMBER(Q14:R14),$Q$4:$R$4)=0,"",SUMPRODUCT(Q14:R14,$Q$4:$R$4)/SUMPRODUCT(--ISNUMBER(Q14:R14),$Q$4:$R$4))</f>
        <v/>
      </c>
      <c r="Q14" s="19">
        <f>IF(Q$5="","",CHOOSE(Q$5,KA1!$R15,KA2!$R15,KA3!$R15,KA4!$R15,KA5!$R15,KA6!$R15))</f>
        <v/>
      </c>
      <c r="R14" s="19">
        <f>IF(R$5="","",CHOOSE(R$5,KA1!$R15,KA2!$R15,KA3!$R15,KA4!$R15,KA5!$R15,KA6!$R15))</f>
        <v/>
      </c>
      <c r="S14" s="48">
        <f>IF(SUMPRODUCT(--ISNUMBER(T14:Y14),$T$4:$Y$4)=0,"",SUMPRODUCT(T14:Y14,$T$4:$Y$4)/SUMPRODUCT(--ISNUMBER(T14:Y14),$T$4:$Y$4))</f>
        <v/>
      </c>
      <c r="T14" s="49" t="inlineStr"/>
      <c r="U14" s="49" t="inlineStr"/>
      <c r="V14" s="49" t="inlineStr"/>
      <c r="W14" s="49" t="inlineStr"/>
      <c r="X14" s="49" t="inlineStr"/>
      <c r="Y14" s="49" t="inlineStr"/>
      <c r="Z14" s="47">
        <f>IF(((--ISNUMBER(D14))*$D$4+(--ISNUMBER(E14))*$E$4)=0,"",(IFERROR(D14*$D$4,0)+IFERROR(E14*$E$4,0))/((--ISNUMBER(D14))*$D$4+(--ISNUMBER(E14))*$E$4))</f>
        <v/>
      </c>
      <c r="AA14" s="50">
        <f>IF(Z14="","",ROUND(Z14,0))</f>
        <v/>
      </c>
      <c r="AB14" s="22">
        <f>IF(AA14="","",INDEX(Notentabelle!$B$4:$B$19,AA14+1))</f>
        <v/>
      </c>
    </row>
    <row r="15">
      <c r="A15" s="37" t="n">
        <v>9</v>
      </c>
      <c r="B15" s="31">
        <f>IF(INDEX(Klassenliste!$B$6:$B$40,9)=0,"",INDEX(Klassenliste!$B$6:$B$40,9))</f>
        <v/>
      </c>
      <c r="C15" s="31">
        <f>IF(INDEX(Klassenliste!$C$6:$C$40,9)=0,"",INDEX(Klassenliste!$C$6:$C$40,9))</f>
        <v/>
      </c>
      <c r="D15" s="47">
        <f>IF(((--ISNUMBER(F15))*$F$4+(--ISNUMBER(I15))*$I$4)=0,"",(IFERROR(F15*$F$4,0)+IFERROR(I15*$I$4,0))/((--ISNUMBER(F15))*$F$4+(--ISNUMBER(I15))*$I$4))</f>
        <v/>
      </c>
      <c r="E15" s="48">
        <f>IF(((--ISNUMBER(P15))*$P$4+(--ISNUMBER(S15))*$S$4)=0,"",(IFERROR(P15*$P$4,0)+IFERROR(S15*$S$4,0))/((--ISNUMBER(P15))*$P$4+(--ISNUMBER(S15))*$S$4))</f>
        <v/>
      </c>
      <c r="F15" s="47">
        <f>IF(SUMPRODUCT(--ISNUMBER(G15:H15),$G$4:$H$4)=0,"",SUMPRODUCT(G15:H15,$G$4:$H$4)/SUMPRODUCT(--ISNUMBER(G15:H15),$G$4:$H$4))</f>
        <v/>
      </c>
      <c r="G15" s="19">
        <f>IF(G$5="","",CHOOSE(G$5,KA1!$R16,KA2!$R16,KA3!$R16,KA4!$R16,KA5!$R16,KA6!$R16))</f>
        <v/>
      </c>
      <c r="H15" s="19">
        <f>IF(H$5="","",CHOOSE(H$5,KA1!$R16,KA2!$R16,KA3!$R16,KA4!$R16,KA5!$R16,KA6!$R16))</f>
        <v/>
      </c>
      <c r="I15" s="48">
        <f>IF(SUMPRODUCT(--ISNUMBER(J15:O15),$J$4:$O$4)=0,"",SUMPRODUCT(J15:O15,$J$4:$O$4)/SUMPRODUCT(--ISNUMBER(J15:O15),$J$4:$O$4))</f>
        <v/>
      </c>
      <c r="J15" s="49" t="inlineStr"/>
      <c r="K15" s="49" t="inlineStr"/>
      <c r="L15" s="49" t="inlineStr"/>
      <c r="M15" s="49" t="inlineStr"/>
      <c r="N15" s="49" t="inlineStr"/>
      <c r="O15" s="49" t="inlineStr"/>
      <c r="P15" s="47">
        <f>IF(SUMPRODUCT(--ISNUMBER(Q15:R15),$Q$4:$R$4)=0,"",SUMPRODUCT(Q15:R15,$Q$4:$R$4)/SUMPRODUCT(--ISNUMBER(Q15:R15),$Q$4:$R$4))</f>
        <v/>
      </c>
      <c r="Q15" s="19">
        <f>IF(Q$5="","",CHOOSE(Q$5,KA1!$R16,KA2!$R16,KA3!$R16,KA4!$R16,KA5!$R16,KA6!$R16))</f>
        <v/>
      </c>
      <c r="R15" s="19">
        <f>IF(R$5="","",CHOOSE(R$5,KA1!$R16,KA2!$R16,KA3!$R16,KA4!$R16,KA5!$R16,KA6!$R16))</f>
        <v/>
      </c>
      <c r="S15" s="48">
        <f>IF(SUMPRODUCT(--ISNUMBER(T15:Y15),$T$4:$Y$4)=0,"",SUMPRODUCT(T15:Y15,$T$4:$Y$4)/SUMPRODUCT(--ISNUMBER(T15:Y15),$T$4:$Y$4))</f>
        <v/>
      </c>
      <c r="T15" s="49" t="inlineStr"/>
      <c r="U15" s="49" t="inlineStr"/>
      <c r="V15" s="49" t="inlineStr"/>
      <c r="W15" s="49" t="inlineStr"/>
      <c r="X15" s="49" t="inlineStr"/>
      <c r="Y15" s="49" t="inlineStr"/>
      <c r="Z15" s="47">
        <f>IF(((--ISNUMBER(D15))*$D$4+(--ISNUMBER(E15))*$E$4)=0,"",(IFERROR(D15*$D$4,0)+IFERROR(E15*$E$4,0))/((--ISNUMBER(D15))*$D$4+(--ISNUMBER(E15))*$E$4))</f>
        <v/>
      </c>
      <c r="AA15" s="50">
        <f>IF(Z15="","",ROUND(Z15,0))</f>
        <v/>
      </c>
      <c r="AB15" s="22">
        <f>IF(AA15="","",INDEX(Notentabelle!$B$4:$B$19,AA15+1))</f>
        <v/>
      </c>
    </row>
    <row r="16">
      <c r="A16" s="37" t="n">
        <v>10</v>
      </c>
      <c r="B16" s="31">
        <f>IF(INDEX(Klassenliste!$B$6:$B$40,10)=0,"",INDEX(Klassenliste!$B$6:$B$40,10))</f>
        <v/>
      </c>
      <c r="C16" s="31">
        <f>IF(INDEX(Klassenliste!$C$6:$C$40,10)=0,"",INDEX(Klassenliste!$C$6:$C$40,10))</f>
        <v/>
      </c>
      <c r="D16" s="47">
        <f>IF(((--ISNUMBER(F16))*$F$4+(--ISNUMBER(I16))*$I$4)=0,"",(IFERROR(F16*$F$4,0)+IFERROR(I16*$I$4,0))/((--ISNUMBER(F16))*$F$4+(--ISNUMBER(I16))*$I$4))</f>
        <v/>
      </c>
      <c r="E16" s="48">
        <f>IF(((--ISNUMBER(P16))*$P$4+(--ISNUMBER(S16))*$S$4)=0,"",(IFERROR(P16*$P$4,0)+IFERROR(S16*$S$4,0))/((--ISNUMBER(P16))*$P$4+(--ISNUMBER(S16))*$S$4))</f>
        <v/>
      </c>
      <c r="F16" s="47">
        <f>IF(SUMPRODUCT(--ISNUMBER(G16:H16),$G$4:$H$4)=0,"",SUMPRODUCT(G16:H16,$G$4:$H$4)/SUMPRODUCT(--ISNUMBER(G16:H16),$G$4:$H$4))</f>
        <v/>
      </c>
      <c r="G16" s="19">
        <f>IF(G$5="","",CHOOSE(G$5,KA1!$R17,KA2!$R17,KA3!$R17,KA4!$R17,KA5!$R17,KA6!$R17))</f>
        <v/>
      </c>
      <c r="H16" s="19">
        <f>IF(H$5="","",CHOOSE(H$5,KA1!$R17,KA2!$R17,KA3!$R17,KA4!$R17,KA5!$R17,KA6!$R17))</f>
        <v/>
      </c>
      <c r="I16" s="48">
        <f>IF(SUMPRODUCT(--ISNUMBER(J16:O16),$J$4:$O$4)=0,"",SUMPRODUCT(J16:O16,$J$4:$O$4)/SUMPRODUCT(--ISNUMBER(J16:O16),$J$4:$O$4))</f>
        <v/>
      </c>
      <c r="J16" s="49" t="inlineStr"/>
      <c r="K16" s="49" t="inlineStr"/>
      <c r="L16" s="49" t="inlineStr"/>
      <c r="M16" s="49" t="inlineStr"/>
      <c r="N16" s="49" t="inlineStr"/>
      <c r="O16" s="49" t="inlineStr"/>
      <c r="P16" s="47">
        <f>IF(SUMPRODUCT(--ISNUMBER(Q16:R16),$Q$4:$R$4)=0,"",SUMPRODUCT(Q16:R16,$Q$4:$R$4)/SUMPRODUCT(--ISNUMBER(Q16:R16),$Q$4:$R$4))</f>
        <v/>
      </c>
      <c r="Q16" s="19">
        <f>IF(Q$5="","",CHOOSE(Q$5,KA1!$R17,KA2!$R17,KA3!$R17,KA4!$R17,KA5!$R17,KA6!$R17))</f>
        <v/>
      </c>
      <c r="R16" s="19">
        <f>IF(R$5="","",CHOOSE(R$5,KA1!$R17,KA2!$R17,KA3!$R17,KA4!$R17,KA5!$R17,KA6!$R17))</f>
        <v/>
      </c>
      <c r="S16" s="48">
        <f>IF(SUMPRODUCT(--ISNUMBER(T16:Y16),$T$4:$Y$4)=0,"",SUMPRODUCT(T16:Y16,$T$4:$Y$4)/SUMPRODUCT(--ISNUMBER(T16:Y16),$T$4:$Y$4))</f>
        <v/>
      </c>
      <c r="T16" s="49" t="inlineStr"/>
      <c r="U16" s="49" t="inlineStr"/>
      <c r="V16" s="49" t="inlineStr"/>
      <c r="W16" s="49" t="inlineStr"/>
      <c r="X16" s="49" t="inlineStr"/>
      <c r="Y16" s="49" t="inlineStr"/>
      <c r="Z16" s="47">
        <f>IF(((--ISNUMBER(D16))*$D$4+(--ISNUMBER(E16))*$E$4)=0,"",(IFERROR(D16*$D$4,0)+IFERROR(E16*$E$4,0))/((--ISNUMBER(D16))*$D$4+(--ISNUMBER(E16))*$E$4))</f>
        <v/>
      </c>
      <c r="AA16" s="50">
        <f>IF(Z16="","",ROUND(Z16,0))</f>
        <v/>
      </c>
      <c r="AB16" s="22">
        <f>IF(AA16="","",INDEX(Notentabelle!$B$4:$B$19,AA16+1))</f>
        <v/>
      </c>
    </row>
    <row r="17">
      <c r="A17" s="37" t="n">
        <v>11</v>
      </c>
      <c r="B17" s="31">
        <f>IF(INDEX(Klassenliste!$B$6:$B$40,11)=0,"",INDEX(Klassenliste!$B$6:$B$40,11))</f>
        <v/>
      </c>
      <c r="C17" s="31">
        <f>IF(INDEX(Klassenliste!$C$6:$C$40,11)=0,"",INDEX(Klassenliste!$C$6:$C$40,11))</f>
        <v/>
      </c>
      <c r="D17" s="47">
        <f>IF(((--ISNUMBER(F17))*$F$4+(--ISNUMBER(I17))*$I$4)=0,"",(IFERROR(F17*$F$4,0)+IFERROR(I17*$I$4,0))/((--ISNUMBER(F17))*$F$4+(--ISNUMBER(I17))*$I$4))</f>
        <v/>
      </c>
      <c r="E17" s="48">
        <f>IF(((--ISNUMBER(P17))*$P$4+(--ISNUMBER(S17))*$S$4)=0,"",(IFERROR(P17*$P$4,0)+IFERROR(S17*$S$4,0))/((--ISNUMBER(P17))*$P$4+(--ISNUMBER(S17))*$S$4))</f>
        <v/>
      </c>
      <c r="F17" s="47">
        <f>IF(SUMPRODUCT(--ISNUMBER(G17:H17),$G$4:$H$4)=0,"",SUMPRODUCT(G17:H17,$G$4:$H$4)/SUMPRODUCT(--ISNUMBER(G17:H17),$G$4:$H$4))</f>
        <v/>
      </c>
      <c r="G17" s="19">
        <f>IF(G$5="","",CHOOSE(G$5,KA1!$R18,KA2!$R18,KA3!$R18,KA4!$R18,KA5!$R18,KA6!$R18))</f>
        <v/>
      </c>
      <c r="H17" s="19">
        <f>IF(H$5="","",CHOOSE(H$5,KA1!$R18,KA2!$R18,KA3!$R18,KA4!$R18,KA5!$R18,KA6!$R18))</f>
        <v/>
      </c>
      <c r="I17" s="48">
        <f>IF(SUMPRODUCT(--ISNUMBER(J17:O17),$J$4:$O$4)=0,"",SUMPRODUCT(J17:O17,$J$4:$O$4)/SUMPRODUCT(--ISNUMBER(J17:O17),$J$4:$O$4))</f>
        <v/>
      </c>
      <c r="J17" s="49" t="inlineStr"/>
      <c r="K17" s="49" t="inlineStr"/>
      <c r="L17" s="49" t="inlineStr"/>
      <c r="M17" s="49" t="inlineStr"/>
      <c r="N17" s="49" t="inlineStr"/>
      <c r="O17" s="49" t="inlineStr"/>
      <c r="P17" s="47">
        <f>IF(SUMPRODUCT(--ISNUMBER(Q17:R17),$Q$4:$R$4)=0,"",SUMPRODUCT(Q17:R17,$Q$4:$R$4)/SUMPRODUCT(--ISNUMBER(Q17:R17),$Q$4:$R$4))</f>
        <v/>
      </c>
      <c r="Q17" s="19">
        <f>IF(Q$5="","",CHOOSE(Q$5,KA1!$R18,KA2!$R18,KA3!$R18,KA4!$R18,KA5!$R18,KA6!$R18))</f>
        <v/>
      </c>
      <c r="R17" s="19">
        <f>IF(R$5="","",CHOOSE(R$5,KA1!$R18,KA2!$R18,KA3!$R18,KA4!$R18,KA5!$R18,KA6!$R18))</f>
        <v/>
      </c>
      <c r="S17" s="48">
        <f>IF(SUMPRODUCT(--ISNUMBER(T17:Y17),$T$4:$Y$4)=0,"",SUMPRODUCT(T17:Y17,$T$4:$Y$4)/SUMPRODUCT(--ISNUMBER(T17:Y17),$T$4:$Y$4))</f>
        <v/>
      </c>
      <c r="T17" s="49" t="inlineStr"/>
      <c r="U17" s="49" t="inlineStr"/>
      <c r="V17" s="49" t="inlineStr"/>
      <c r="W17" s="49" t="inlineStr"/>
      <c r="X17" s="49" t="inlineStr"/>
      <c r="Y17" s="49" t="inlineStr"/>
      <c r="Z17" s="47">
        <f>IF(((--ISNUMBER(D17))*$D$4+(--ISNUMBER(E17))*$E$4)=0,"",(IFERROR(D17*$D$4,0)+IFERROR(E17*$E$4,0))/((--ISNUMBER(D17))*$D$4+(--ISNUMBER(E17))*$E$4))</f>
        <v/>
      </c>
      <c r="AA17" s="50">
        <f>IF(Z17="","",ROUND(Z17,0))</f>
        <v/>
      </c>
      <c r="AB17" s="22">
        <f>IF(AA17="","",INDEX(Notentabelle!$B$4:$B$19,AA17+1))</f>
        <v/>
      </c>
    </row>
    <row r="18">
      <c r="A18" s="37" t="n">
        <v>12</v>
      </c>
      <c r="B18" s="31">
        <f>IF(INDEX(Klassenliste!$B$6:$B$40,12)=0,"",INDEX(Klassenliste!$B$6:$B$40,12))</f>
        <v/>
      </c>
      <c r="C18" s="31">
        <f>IF(INDEX(Klassenliste!$C$6:$C$40,12)=0,"",INDEX(Klassenliste!$C$6:$C$40,12))</f>
        <v/>
      </c>
      <c r="D18" s="47">
        <f>IF(((--ISNUMBER(F18))*$F$4+(--ISNUMBER(I18))*$I$4)=0,"",(IFERROR(F18*$F$4,0)+IFERROR(I18*$I$4,0))/((--ISNUMBER(F18))*$F$4+(--ISNUMBER(I18))*$I$4))</f>
        <v/>
      </c>
      <c r="E18" s="48">
        <f>IF(((--ISNUMBER(P18))*$P$4+(--ISNUMBER(S18))*$S$4)=0,"",(IFERROR(P18*$P$4,0)+IFERROR(S18*$S$4,0))/((--ISNUMBER(P18))*$P$4+(--ISNUMBER(S18))*$S$4))</f>
        <v/>
      </c>
      <c r="F18" s="47">
        <f>IF(SUMPRODUCT(--ISNUMBER(G18:H18),$G$4:$H$4)=0,"",SUMPRODUCT(G18:H18,$G$4:$H$4)/SUMPRODUCT(--ISNUMBER(G18:H18),$G$4:$H$4))</f>
        <v/>
      </c>
      <c r="G18" s="19">
        <f>IF(G$5="","",CHOOSE(G$5,KA1!$R19,KA2!$R19,KA3!$R19,KA4!$R19,KA5!$R19,KA6!$R19))</f>
        <v/>
      </c>
      <c r="H18" s="19">
        <f>IF(H$5="","",CHOOSE(H$5,KA1!$R19,KA2!$R19,KA3!$R19,KA4!$R19,KA5!$R19,KA6!$R19))</f>
        <v/>
      </c>
      <c r="I18" s="48">
        <f>IF(SUMPRODUCT(--ISNUMBER(J18:O18),$J$4:$O$4)=0,"",SUMPRODUCT(J18:O18,$J$4:$O$4)/SUMPRODUCT(--ISNUMBER(J18:O18),$J$4:$O$4))</f>
        <v/>
      </c>
      <c r="J18" s="49" t="inlineStr"/>
      <c r="K18" s="49" t="inlineStr"/>
      <c r="L18" s="49" t="inlineStr"/>
      <c r="M18" s="49" t="inlineStr"/>
      <c r="N18" s="49" t="inlineStr"/>
      <c r="O18" s="49" t="inlineStr"/>
      <c r="P18" s="47">
        <f>IF(SUMPRODUCT(--ISNUMBER(Q18:R18),$Q$4:$R$4)=0,"",SUMPRODUCT(Q18:R18,$Q$4:$R$4)/SUMPRODUCT(--ISNUMBER(Q18:R18),$Q$4:$R$4))</f>
        <v/>
      </c>
      <c r="Q18" s="19">
        <f>IF(Q$5="","",CHOOSE(Q$5,KA1!$R19,KA2!$R19,KA3!$R19,KA4!$R19,KA5!$R19,KA6!$R19))</f>
        <v/>
      </c>
      <c r="R18" s="19">
        <f>IF(R$5="","",CHOOSE(R$5,KA1!$R19,KA2!$R19,KA3!$R19,KA4!$R19,KA5!$R19,KA6!$R19))</f>
        <v/>
      </c>
      <c r="S18" s="48">
        <f>IF(SUMPRODUCT(--ISNUMBER(T18:Y18),$T$4:$Y$4)=0,"",SUMPRODUCT(T18:Y18,$T$4:$Y$4)/SUMPRODUCT(--ISNUMBER(T18:Y18),$T$4:$Y$4))</f>
        <v/>
      </c>
      <c r="T18" s="49" t="inlineStr"/>
      <c r="U18" s="49" t="inlineStr"/>
      <c r="V18" s="49" t="inlineStr"/>
      <c r="W18" s="49" t="inlineStr"/>
      <c r="X18" s="49" t="inlineStr"/>
      <c r="Y18" s="49" t="inlineStr"/>
      <c r="Z18" s="47">
        <f>IF(((--ISNUMBER(D18))*$D$4+(--ISNUMBER(E18))*$E$4)=0,"",(IFERROR(D18*$D$4,0)+IFERROR(E18*$E$4,0))/((--ISNUMBER(D18))*$D$4+(--ISNUMBER(E18))*$E$4))</f>
        <v/>
      </c>
      <c r="AA18" s="50">
        <f>IF(Z18="","",ROUND(Z18,0))</f>
        <v/>
      </c>
      <c r="AB18" s="22">
        <f>IF(AA18="","",INDEX(Notentabelle!$B$4:$B$19,AA18+1))</f>
        <v/>
      </c>
    </row>
    <row r="19">
      <c r="A19" s="37" t="n">
        <v>13</v>
      </c>
      <c r="B19" s="31">
        <f>IF(INDEX(Klassenliste!$B$6:$B$40,13)=0,"",INDEX(Klassenliste!$B$6:$B$40,13))</f>
        <v/>
      </c>
      <c r="C19" s="31">
        <f>IF(INDEX(Klassenliste!$C$6:$C$40,13)=0,"",INDEX(Klassenliste!$C$6:$C$40,13))</f>
        <v/>
      </c>
      <c r="D19" s="47">
        <f>IF(((--ISNUMBER(F19))*$F$4+(--ISNUMBER(I19))*$I$4)=0,"",(IFERROR(F19*$F$4,0)+IFERROR(I19*$I$4,0))/((--ISNUMBER(F19))*$F$4+(--ISNUMBER(I19))*$I$4))</f>
        <v/>
      </c>
      <c r="E19" s="48">
        <f>IF(((--ISNUMBER(P19))*$P$4+(--ISNUMBER(S19))*$S$4)=0,"",(IFERROR(P19*$P$4,0)+IFERROR(S19*$S$4,0))/((--ISNUMBER(P19))*$P$4+(--ISNUMBER(S19))*$S$4))</f>
        <v/>
      </c>
      <c r="F19" s="47">
        <f>IF(SUMPRODUCT(--ISNUMBER(G19:H19),$G$4:$H$4)=0,"",SUMPRODUCT(G19:H19,$G$4:$H$4)/SUMPRODUCT(--ISNUMBER(G19:H19),$G$4:$H$4))</f>
        <v/>
      </c>
      <c r="G19" s="19">
        <f>IF(G$5="","",CHOOSE(G$5,KA1!$R20,KA2!$R20,KA3!$R20,KA4!$R20,KA5!$R20,KA6!$R20))</f>
        <v/>
      </c>
      <c r="H19" s="19">
        <f>IF(H$5="","",CHOOSE(H$5,KA1!$R20,KA2!$R20,KA3!$R20,KA4!$R20,KA5!$R20,KA6!$R20))</f>
        <v/>
      </c>
      <c r="I19" s="48">
        <f>IF(SUMPRODUCT(--ISNUMBER(J19:O19),$J$4:$O$4)=0,"",SUMPRODUCT(J19:O19,$J$4:$O$4)/SUMPRODUCT(--ISNUMBER(J19:O19),$J$4:$O$4))</f>
        <v/>
      </c>
      <c r="J19" s="49" t="inlineStr"/>
      <c r="K19" s="49" t="inlineStr"/>
      <c r="L19" s="49" t="inlineStr"/>
      <c r="M19" s="49" t="inlineStr"/>
      <c r="N19" s="49" t="inlineStr"/>
      <c r="O19" s="49" t="inlineStr"/>
      <c r="P19" s="47">
        <f>IF(SUMPRODUCT(--ISNUMBER(Q19:R19),$Q$4:$R$4)=0,"",SUMPRODUCT(Q19:R19,$Q$4:$R$4)/SUMPRODUCT(--ISNUMBER(Q19:R19),$Q$4:$R$4))</f>
        <v/>
      </c>
      <c r="Q19" s="19">
        <f>IF(Q$5="","",CHOOSE(Q$5,KA1!$R20,KA2!$R20,KA3!$R20,KA4!$R20,KA5!$R20,KA6!$R20))</f>
        <v/>
      </c>
      <c r="R19" s="19">
        <f>IF(R$5="","",CHOOSE(R$5,KA1!$R20,KA2!$R20,KA3!$R20,KA4!$R20,KA5!$R20,KA6!$R20))</f>
        <v/>
      </c>
      <c r="S19" s="48">
        <f>IF(SUMPRODUCT(--ISNUMBER(T19:Y19),$T$4:$Y$4)=0,"",SUMPRODUCT(T19:Y19,$T$4:$Y$4)/SUMPRODUCT(--ISNUMBER(T19:Y19),$T$4:$Y$4))</f>
        <v/>
      </c>
      <c r="T19" s="49" t="inlineStr"/>
      <c r="U19" s="49" t="inlineStr"/>
      <c r="V19" s="49" t="inlineStr"/>
      <c r="W19" s="49" t="inlineStr"/>
      <c r="X19" s="49" t="inlineStr"/>
      <c r="Y19" s="49" t="inlineStr"/>
      <c r="Z19" s="47">
        <f>IF(((--ISNUMBER(D19))*$D$4+(--ISNUMBER(E19))*$E$4)=0,"",(IFERROR(D19*$D$4,0)+IFERROR(E19*$E$4,0))/((--ISNUMBER(D19))*$D$4+(--ISNUMBER(E19))*$E$4))</f>
        <v/>
      </c>
      <c r="AA19" s="50">
        <f>IF(Z19="","",ROUND(Z19,0))</f>
        <v/>
      </c>
      <c r="AB19" s="22">
        <f>IF(AA19="","",INDEX(Notentabelle!$B$4:$B$19,AA19+1))</f>
        <v/>
      </c>
    </row>
    <row r="20">
      <c r="A20" s="37" t="n">
        <v>14</v>
      </c>
      <c r="B20" s="31">
        <f>IF(INDEX(Klassenliste!$B$6:$B$40,14)=0,"",INDEX(Klassenliste!$B$6:$B$40,14))</f>
        <v/>
      </c>
      <c r="C20" s="31">
        <f>IF(INDEX(Klassenliste!$C$6:$C$40,14)=0,"",INDEX(Klassenliste!$C$6:$C$40,14))</f>
        <v/>
      </c>
      <c r="D20" s="47">
        <f>IF(((--ISNUMBER(F20))*$F$4+(--ISNUMBER(I20))*$I$4)=0,"",(IFERROR(F20*$F$4,0)+IFERROR(I20*$I$4,0))/((--ISNUMBER(F20))*$F$4+(--ISNUMBER(I20))*$I$4))</f>
        <v/>
      </c>
      <c r="E20" s="48">
        <f>IF(((--ISNUMBER(P20))*$P$4+(--ISNUMBER(S20))*$S$4)=0,"",(IFERROR(P20*$P$4,0)+IFERROR(S20*$S$4,0))/((--ISNUMBER(P20))*$P$4+(--ISNUMBER(S20))*$S$4))</f>
        <v/>
      </c>
      <c r="F20" s="47">
        <f>IF(SUMPRODUCT(--ISNUMBER(G20:H20),$G$4:$H$4)=0,"",SUMPRODUCT(G20:H20,$G$4:$H$4)/SUMPRODUCT(--ISNUMBER(G20:H20),$G$4:$H$4))</f>
        <v/>
      </c>
      <c r="G20" s="19">
        <f>IF(G$5="","",CHOOSE(G$5,KA1!$R21,KA2!$R21,KA3!$R21,KA4!$R21,KA5!$R21,KA6!$R21))</f>
        <v/>
      </c>
      <c r="H20" s="19">
        <f>IF(H$5="","",CHOOSE(H$5,KA1!$R21,KA2!$R21,KA3!$R21,KA4!$R21,KA5!$R21,KA6!$R21))</f>
        <v/>
      </c>
      <c r="I20" s="48">
        <f>IF(SUMPRODUCT(--ISNUMBER(J20:O20),$J$4:$O$4)=0,"",SUMPRODUCT(J20:O20,$J$4:$O$4)/SUMPRODUCT(--ISNUMBER(J20:O20),$J$4:$O$4))</f>
        <v/>
      </c>
      <c r="J20" s="49" t="inlineStr"/>
      <c r="K20" s="49" t="inlineStr"/>
      <c r="L20" s="49" t="inlineStr"/>
      <c r="M20" s="49" t="inlineStr"/>
      <c r="N20" s="49" t="inlineStr"/>
      <c r="O20" s="49" t="inlineStr"/>
      <c r="P20" s="47">
        <f>IF(SUMPRODUCT(--ISNUMBER(Q20:R20),$Q$4:$R$4)=0,"",SUMPRODUCT(Q20:R20,$Q$4:$R$4)/SUMPRODUCT(--ISNUMBER(Q20:R20),$Q$4:$R$4))</f>
        <v/>
      </c>
      <c r="Q20" s="19">
        <f>IF(Q$5="","",CHOOSE(Q$5,KA1!$R21,KA2!$R21,KA3!$R21,KA4!$R21,KA5!$R21,KA6!$R21))</f>
        <v/>
      </c>
      <c r="R20" s="19">
        <f>IF(R$5="","",CHOOSE(R$5,KA1!$R21,KA2!$R21,KA3!$R21,KA4!$R21,KA5!$R21,KA6!$R21))</f>
        <v/>
      </c>
      <c r="S20" s="48">
        <f>IF(SUMPRODUCT(--ISNUMBER(T20:Y20),$T$4:$Y$4)=0,"",SUMPRODUCT(T20:Y20,$T$4:$Y$4)/SUMPRODUCT(--ISNUMBER(T20:Y20),$T$4:$Y$4))</f>
        <v/>
      </c>
      <c r="T20" s="49" t="inlineStr"/>
      <c r="U20" s="49" t="inlineStr"/>
      <c r="V20" s="49" t="inlineStr"/>
      <c r="W20" s="49" t="inlineStr"/>
      <c r="X20" s="49" t="inlineStr"/>
      <c r="Y20" s="49" t="inlineStr"/>
      <c r="Z20" s="47">
        <f>IF(((--ISNUMBER(D20))*$D$4+(--ISNUMBER(E20))*$E$4)=0,"",(IFERROR(D20*$D$4,0)+IFERROR(E20*$E$4,0))/((--ISNUMBER(D20))*$D$4+(--ISNUMBER(E20))*$E$4))</f>
        <v/>
      </c>
      <c r="AA20" s="50">
        <f>IF(Z20="","",ROUND(Z20,0))</f>
        <v/>
      </c>
      <c r="AB20" s="22">
        <f>IF(AA20="","",INDEX(Notentabelle!$B$4:$B$19,AA20+1))</f>
        <v/>
      </c>
    </row>
    <row r="21">
      <c r="A21" s="37" t="n">
        <v>15</v>
      </c>
      <c r="B21" s="31">
        <f>IF(INDEX(Klassenliste!$B$6:$B$40,15)=0,"",INDEX(Klassenliste!$B$6:$B$40,15))</f>
        <v/>
      </c>
      <c r="C21" s="31">
        <f>IF(INDEX(Klassenliste!$C$6:$C$40,15)=0,"",INDEX(Klassenliste!$C$6:$C$40,15))</f>
        <v/>
      </c>
      <c r="D21" s="47">
        <f>IF(((--ISNUMBER(F21))*$F$4+(--ISNUMBER(I21))*$I$4)=0,"",(IFERROR(F21*$F$4,0)+IFERROR(I21*$I$4,0))/((--ISNUMBER(F21))*$F$4+(--ISNUMBER(I21))*$I$4))</f>
        <v/>
      </c>
      <c r="E21" s="48">
        <f>IF(((--ISNUMBER(P21))*$P$4+(--ISNUMBER(S21))*$S$4)=0,"",(IFERROR(P21*$P$4,0)+IFERROR(S21*$S$4,0))/((--ISNUMBER(P21))*$P$4+(--ISNUMBER(S21))*$S$4))</f>
        <v/>
      </c>
      <c r="F21" s="47">
        <f>IF(SUMPRODUCT(--ISNUMBER(G21:H21),$G$4:$H$4)=0,"",SUMPRODUCT(G21:H21,$G$4:$H$4)/SUMPRODUCT(--ISNUMBER(G21:H21),$G$4:$H$4))</f>
        <v/>
      </c>
      <c r="G21" s="19">
        <f>IF(G$5="","",CHOOSE(G$5,KA1!$R22,KA2!$R22,KA3!$R22,KA4!$R22,KA5!$R22,KA6!$R22))</f>
        <v/>
      </c>
      <c r="H21" s="19">
        <f>IF(H$5="","",CHOOSE(H$5,KA1!$R22,KA2!$R22,KA3!$R22,KA4!$R22,KA5!$R22,KA6!$R22))</f>
        <v/>
      </c>
      <c r="I21" s="48">
        <f>IF(SUMPRODUCT(--ISNUMBER(J21:O21),$J$4:$O$4)=0,"",SUMPRODUCT(J21:O21,$J$4:$O$4)/SUMPRODUCT(--ISNUMBER(J21:O21),$J$4:$O$4))</f>
        <v/>
      </c>
      <c r="J21" s="49" t="inlineStr"/>
      <c r="K21" s="49" t="inlineStr"/>
      <c r="L21" s="49" t="inlineStr"/>
      <c r="M21" s="49" t="inlineStr"/>
      <c r="N21" s="49" t="inlineStr"/>
      <c r="O21" s="49" t="inlineStr"/>
      <c r="P21" s="47">
        <f>IF(SUMPRODUCT(--ISNUMBER(Q21:R21),$Q$4:$R$4)=0,"",SUMPRODUCT(Q21:R21,$Q$4:$R$4)/SUMPRODUCT(--ISNUMBER(Q21:R21),$Q$4:$R$4))</f>
        <v/>
      </c>
      <c r="Q21" s="19">
        <f>IF(Q$5="","",CHOOSE(Q$5,KA1!$R22,KA2!$R22,KA3!$R22,KA4!$R22,KA5!$R22,KA6!$R22))</f>
        <v/>
      </c>
      <c r="R21" s="19">
        <f>IF(R$5="","",CHOOSE(R$5,KA1!$R22,KA2!$R22,KA3!$R22,KA4!$R22,KA5!$R22,KA6!$R22))</f>
        <v/>
      </c>
      <c r="S21" s="48">
        <f>IF(SUMPRODUCT(--ISNUMBER(T21:Y21),$T$4:$Y$4)=0,"",SUMPRODUCT(T21:Y21,$T$4:$Y$4)/SUMPRODUCT(--ISNUMBER(T21:Y21),$T$4:$Y$4))</f>
        <v/>
      </c>
      <c r="T21" s="49" t="inlineStr"/>
      <c r="U21" s="49" t="inlineStr"/>
      <c r="V21" s="49" t="inlineStr"/>
      <c r="W21" s="49" t="inlineStr"/>
      <c r="X21" s="49" t="inlineStr"/>
      <c r="Y21" s="49" t="inlineStr"/>
      <c r="Z21" s="47">
        <f>IF(((--ISNUMBER(D21))*$D$4+(--ISNUMBER(E21))*$E$4)=0,"",(IFERROR(D21*$D$4,0)+IFERROR(E21*$E$4,0))/((--ISNUMBER(D21))*$D$4+(--ISNUMBER(E21))*$E$4))</f>
        <v/>
      </c>
      <c r="AA21" s="50">
        <f>IF(Z21="","",ROUND(Z21,0))</f>
        <v/>
      </c>
      <c r="AB21" s="22">
        <f>IF(AA21="","",INDEX(Notentabelle!$B$4:$B$19,AA21+1))</f>
        <v/>
      </c>
    </row>
    <row r="22">
      <c r="A22" s="37" t="n">
        <v>16</v>
      </c>
      <c r="B22" s="31">
        <f>IF(INDEX(Klassenliste!$B$6:$B$40,16)=0,"",INDEX(Klassenliste!$B$6:$B$40,16))</f>
        <v/>
      </c>
      <c r="C22" s="31">
        <f>IF(INDEX(Klassenliste!$C$6:$C$40,16)=0,"",INDEX(Klassenliste!$C$6:$C$40,16))</f>
        <v/>
      </c>
      <c r="D22" s="47">
        <f>IF(((--ISNUMBER(F22))*$F$4+(--ISNUMBER(I22))*$I$4)=0,"",(IFERROR(F22*$F$4,0)+IFERROR(I22*$I$4,0))/((--ISNUMBER(F22))*$F$4+(--ISNUMBER(I22))*$I$4))</f>
        <v/>
      </c>
      <c r="E22" s="48">
        <f>IF(((--ISNUMBER(P22))*$P$4+(--ISNUMBER(S22))*$S$4)=0,"",(IFERROR(P22*$P$4,0)+IFERROR(S22*$S$4,0))/((--ISNUMBER(P22))*$P$4+(--ISNUMBER(S22))*$S$4))</f>
        <v/>
      </c>
      <c r="F22" s="47">
        <f>IF(SUMPRODUCT(--ISNUMBER(G22:H22),$G$4:$H$4)=0,"",SUMPRODUCT(G22:H22,$G$4:$H$4)/SUMPRODUCT(--ISNUMBER(G22:H22),$G$4:$H$4))</f>
        <v/>
      </c>
      <c r="G22" s="19">
        <f>IF(G$5="","",CHOOSE(G$5,KA1!$R23,KA2!$R23,KA3!$R23,KA4!$R23,KA5!$R23,KA6!$R23))</f>
        <v/>
      </c>
      <c r="H22" s="19">
        <f>IF(H$5="","",CHOOSE(H$5,KA1!$R23,KA2!$R23,KA3!$R23,KA4!$R23,KA5!$R23,KA6!$R23))</f>
        <v/>
      </c>
      <c r="I22" s="48">
        <f>IF(SUMPRODUCT(--ISNUMBER(J22:O22),$J$4:$O$4)=0,"",SUMPRODUCT(J22:O22,$J$4:$O$4)/SUMPRODUCT(--ISNUMBER(J22:O22),$J$4:$O$4))</f>
        <v/>
      </c>
      <c r="J22" s="49" t="inlineStr"/>
      <c r="K22" s="49" t="inlineStr"/>
      <c r="L22" s="49" t="inlineStr"/>
      <c r="M22" s="49" t="inlineStr"/>
      <c r="N22" s="49" t="inlineStr"/>
      <c r="O22" s="49" t="inlineStr"/>
      <c r="P22" s="47">
        <f>IF(SUMPRODUCT(--ISNUMBER(Q22:R22),$Q$4:$R$4)=0,"",SUMPRODUCT(Q22:R22,$Q$4:$R$4)/SUMPRODUCT(--ISNUMBER(Q22:R22),$Q$4:$R$4))</f>
        <v/>
      </c>
      <c r="Q22" s="19">
        <f>IF(Q$5="","",CHOOSE(Q$5,KA1!$R23,KA2!$R23,KA3!$R23,KA4!$R23,KA5!$R23,KA6!$R23))</f>
        <v/>
      </c>
      <c r="R22" s="19">
        <f>IF(R$5="","",CHOOSE(R$5,KA1!$R23,KA2!$R23,KA3!$R23,KA4!$R23,KA5!$R23,KA6!$R23))</f>
        <v/>
      </c>
      <c r="S22" s="48">
        <f>IF(SUMPRODUCT(--ISNUMBER(T22:Y22),$T$4:$Y$4)=0,"",SUMPRODUCT(T22:Y22,$T$4:$Y$4)/SUMPRODUCT(--ISNUMBER(T22:Y22),$T$4:$Y$4))</f>
        <v/>
      </c>
      <c r="T22" s="49" t="inlineStr"/>
      <c r="U22" s="49" t="inlineStr"/>
      <c r="V22" s="49" t="inlineStr"/>
      <c r="W22" s="49" t="inlineStr"/>
      <c r="X22" s="49" t="inlineStr"/>
      <c r="Y22" s="49" t="inlineStr"/>
      <c r="Z22" s="47">
        <f>IF(((--ISNUMBER(D22))*$D$4+(--ISNUMBER(E22))*$E$4)=0,"",(IFERROR(D22*$D$4,0)+IFERROR(E22*$E$4,0))/((--ISNUMBER(D22))*$D$4+(--ISNUMBER(E22))*$E$4))</f>
        <v/>
      </c>
      <c r="AA22" s="50">
        <f>IF(Z22="","",ROUND(Z22,0))</f>
        <v/>
      </c>
      <c r="AB22" s="22">
        <f>IF(AA22="","",INDEX(Notentabelle!$B$4:$B$19,AA22+1))</f>
        <v/>
      </c>
    </row>
    <row r="23">
      <c r="A23" s="37" t="n">
        <v>17</v>
      </c>
      <c r="B23" s="31">
        <f>IF(INDEX(Klassenliste!$B$6:$B$40,17)=0,"",INDEX(Klassenliste!$B$6:$B$40,17))</f>
        <v/>
      </c>
      <c r="C23" s="31">
        <f>IF(INDEX(Klassenliste!$C$6:$C$40,17)=0,"",INDEX(Klassenliste!$C$6:$C$40,17))</f>
        <v/>
      </c>
      <c r="D23" s="47">
        <f>IF(((--ISNUMBER(F23))*$F$4+(--ISNUMBER(I23))*$I$4)=0,"",(IFERROR(F23*$F$4,0)+IFERROR(I23*$I$4,0))/((--ISNUMBER(F23))*$F$4+(--ISNUMBER(I23))*$I$4))</f>
        <v/>
      </c>
      <c r="E23" s="48">
        <f>IF(((--ISNUMBER(P23))*$P$4+(--ISNUMBER(S23))*$S$4)=0,"",(IFERROR(P23*$P$4,0)+IFERROR(S23*$S$4,0))/((--ISNUMBER(P23))*$P$4+(--ISNUMBER(S23))*$S$4))</f>
        <v/>
      </c>
      <c r="F23" s="47">
        <f>IF(SUMPRODUCT(--ISNUMBER(G23:H23),$G$4:$H$4)=0,"",SUMPRODUCT(G23:H23,$G$4:$H$4)/SUMPRODUCT(--ISNUMBER(G23:H23),$G$4:$H$4))</f>
        <v/>
      </c>
      <c r="G23" s="19">
        <f>IF(G$5="","",CHOOSE(G$5,KA1!$R24,KA2!$R24,KA3!$R24,KA4!$R24,KA5!$R24,KA6!$R24))</f>
        <v/>
      </c>
      <c r="H23" s="19">
        <f>IF(H$5="","",CHOOSE(H$5,KA1!$R24,KA2!$R24,KA3!$R24,KA4!$R24,KA5!$R24,KA6!$R24))</f>
        <v/>
      </c>
      <c r="I23" s="48">
        <f>IF(SUMPRODUCT(--ISNUMBER(J23:O23),$J$4:$O$4)=0,"",SUMPRODUCT(J23:O23,$J$4:$O$4)/SUMPRODUCT(--ISNUMBER(J23:O23),$J$4:$O$4))</f>
        <v/>
      </c>
      <c r="J23" s="49" t="inlineStr"/>
      <c r="K23" s="49" t="inlineStr"/>
      <c r="L23" s="49" t="inlineStr"/>
      <c r="M23" s="49" t="inlineStr"/>
      <c r="N23" s="49" t="inlineStr"/>
      <c r="O23" s="49" t="inlineStr"/>
      <c r="P23" s="47">
        <f>IF(SUMPRODUCT(--ISNUMBER(Q23:R23),$Q$4:$R$4)=0,"",SUMPRODUCT(Q23:R23,$Q$4:$R$4)/SUMPRODUCT(--ISNUMBER(Q23:R23),$Q$4:$R$4))</f>
        <v/>
      </c>
      <c r="Q23" s="19">
        <f>IF(Q$5="","",CHOOSE(Q$5,KA1!$R24,KA2!$R24,KA3!$R24,KA4!$R24,KA5!$R24,KA6!$R24))</f>
        <v/>
      </c>
      <c r="R23" s="19">
        <f>IF(R$5="","",CHOOSE(R$5,KA1!$R24,KA2!$R24,KA3!$R24,KA4!$R24,KA5!$R24,KA6!$R24))</f>
        <v/>
      </c>
      <c r="S23" s="48">
        <f>IF(SUMPRODUCT(--ISNUMBER(T23:Y23),$T$4:$Y$4)=0,"",SUMPRODUCT(T23:Y23,$T$4:$Y$4)/SUMPRODUCT(--ISNUMBER(T23:Y23),$T$4:$Y$4))</f>
        <v/>
      </c>
      <c r="T23" s="49" t="inlineStr"/>
      <c r="U23" s="49" t="inlineStr"/>
      <c r="V23" s="49" t="inlineStr"/>
      <c r="W23" s="49" t="inlineStr"/>
      <c r="X23" s="49" t="inlineStr"/>
      <c r="Y23" s="49" t="inlineStr"/>
      <c r="Z23" s="47">
        <f>IF(((--ISNUMBER(D23))*$D$4+(--ISNUMBER(E23))*$E$4)=0,"",(IFERROR(D23*$D$4,0)+IFERROR(E23*$E$4,0))/((--ISNUMBER(D23))*$D$4+(--ISNUMBER(E23))*$E$4))</f>
        <v/>
      </c>
      <c r="AA23" s="50">
        <f>IF(Z23="","",ROUND(Z23,0))</f>
        <v/>
      </c>
      <c r="AB23" s="22">
        <f>IF(AA23="","",INDEX(Notentabelle!$B$4:$B$19,AA23+1))</f>
        <v/>
      </c>
    </row>
    <row r="24">
      <c r="A24" s="37" t="n">
        <v>18</v>
      </c>
      <c r="B24" s="31">
        <f>IF(INDEX(Klassenliste!$B$6:$B$40,18)=0,"",INDEX(Klassenliste!$B$6:$B$40,18))</f>
        <v/>
      </c>
      <c r="C24" s="31">
        <f>IF(INDEX(Klassenliste!$C$6:$C$40,18)=0,"",INDEX(Klassenliste!$C$6:$C$40,18))</f>
        <v/>
      </c>
      <c r="D24" s="47">
        <f>IF(((--ISNUMBER(F24))*$F$4+(--ISNUMBER(I24))*$I$4)=0,"",(IFERROR(F24*$F$4,0)+IFERROR(I24*$I$4,0))/((--ISNUMBER(F24))*$F$4+(--ISNUMBER(I24))*$I$4))</f>
        <v/>
      </c>
      <c r="E24" s="48">
        <f>IF(((--ISNUMBER(P24))*$P$4+(--ISNUMBER(S24))*$S$4)=0,"",(IFERROR(P24*$P$4,0)+IFERROR(S24*$S$4,0))/((--ISNUMBER(P24))*$P$4+(--ISNUMBER(S24))*$S$4))</f>
        <v/>
      </c>
      <c r="F24" s="47">
        <f>IF(SUMPRODUCT(--ISNUMBER(G24:H24),$G$4:$H$4)=0,"",SUMPRODUCT(G24:H24,$G$4:$H$4)/SUMPRODUCT(--ISNUMBER(G24:H24),$G$4:$H$4))</f>
        <v/>
      </c>
      <c r="G24" s="19">
        <f>IF(G$5="","",CHOOSE(G$5,KA1!$R25,KA2!$R25,KA3!$R25,KA4!$R25,KA5!$R25,KA6!$R25))</f>
        <v/>
      </c>
      <c r="H24" s="19">
        <f>IF(H$5="","",CHOOSE(H$5,KA1!$R25,KA2!$R25,KA3!$R25,KA4!$R25,KA5!$R25,KA6!$R25))</f>
        <v/>
      </c>
      <c r="I24" s="48">
        <f>IF(SUMPRODUCT(--ISNUMBER(J24:O24),$J$4:$O$4)=0,"",SUMPRODUCT(J24:O24,$J$4:$O$4)/SUMPRODUCT(--ISNUMBER(J24:O24),$J$4:$O$4))</f>
        <v/>
      </c>
      <c r="J24" s="49" t="inlineStr"/>
      <c r="K24" s="49" t="inlineStr"/>
      <c r="L24" s="49" t="inlineStr"/>
      <c r="M24" s="49" t="inlineStr"/>
      <c r="N24" s="49" t="inlineStr"/>
      <c r="O24" s="49" t="inlineStr"/>
      <c r="P24" s="47">
        <f>IF(SUMPRODUCT(--ISNUMBER(Q24:R24),$Q$4:$R$4)=0,"",SUMPRODUCT(Q24:R24,$Q$4:$R$4)/SUMPRODUCT(--ISNUMBER(Q24:R24),$Q$4:$R$4))</f>
        <v/>
      </c>
      <c r="Q24" s="19">
        <f>IF(Q$5="","",CHOOSE(Q$5,KA1!$R25,KA2!$R25,KA3!$R25,KA4!$R25,KA5!$R25,KA6!$R25))</f>
        <v/>
      </c>
      <c r="R24" s="19">
        <f>IF(R$5="","",CHOOSE(R$5,KA1!$R25,KA2!$R25,KA3!$R25,KA4!$R25,KA5!$R25,KA6!$R25))</f>
        <v/>
      </c>
      <c r="S24" s="48">
        <f>IF(SUMPRODUCT(--ISNUMBER(T24:Y24),$T$4:$Y$4)=0,"",SUMPRODUCT(T24:Y24,$T$4:$Y$4)/SUMPRODUCT(--ISNUMBER(T24:Y24),$T$4:$Y$4))</f>
        <v/>
      </c>
      <c r="T24" s="49" t="inlineStr"/>
      <c r="U24" s="49" t="inlineStr"/>
      <c r="V24" s="49" t="inlineStr"/>
      <c r="W24" s="49" t="inlineStr"/>
      <c r="X24" s="49" t="inlineStr"/>
      <c r="Y24" s="49" t="inlineStr"/>
      <c r="Z24" s="47">
        <f>IF(((--ISNUMBER(D24))*$D$4+(--ISNUMBER(E24))*$E$4)=0,"",(IFERROR(D24*$D$4,0)+IFERROR(E24*$E$4,0))/((--ISNUMBER(D24))*$D$4+(--ISNUMBER(E24))*$E$4))</f>
        <v/>
      </c>
      <c r="AA24" s="50">
        <f>IF(Z24="","",ROUND(Z24,0))</f>
        <v/>
      </c>
      <c r="AB24" s="22">
        <f>IF(AA24="","",INDEX(Notentabelle!$B$4:$B$19,AA24+1))</f>
        <v/>
      </c>
    </row>
    <row r="25">
      <c r="A25" s="37" t="n">
        <v>19</v>
      </c>
      <c r="B25" s="31">
        <f>IF(INDEX(Klassenliste!$B$6:$B$40,19)=0,"",INDEX(Klassenliste!$B$6:$B$40,19))</f>
        <v/>
      </c>
      <c r="C25" s="31">
        <f>IF(INDEX(Klassenliste!$C$6:$C$40,19)=0,"",INDEX(Klassenliste!$C$6:$C$40,19))</f>
        <v/>
      </c>
      <c r="D25" s="47">
        <f>IF(((--ISNUMBER(F25))*$F$4+(--ISNUMBER(I25))*$I$4)=0,"",(IFERROR(F25*$F$4,0)+IFERROR(I25*$I$4,0))/((--ISNUMBER(F25))*$F$4+(--ISNUMBER(I25))*$I$4))</f>
        <v/>
      </c>
      <c r="E25" s="48">
        <f>IF(((--ISNUMBER(P25))*$P$4+(--ISNUMBER(S25))*$S$4)=0,"",(IFERROR(P25*$P$4,0)+IFERROR(S25*$S$4,0))/((--ISNUMBER(P25))*$P$4+(--ISNUMBER(S25))*$S$4))</f>
        <v/>
      </c>
      <c r="F25" s="47">
        <f>IF(SUMPRODUCT(--ISNUMBER(G25:H25),$G$4:$H$4)=0,"",SUMPRODUCT(G25:H25,$G$4:$H$4)/SUMPRODUCT(--ISNUMBER(G25:H25),$G$4:$H$4))</f>
        <v/>
      </c>
      <c r="G25" s="19">
        <f>IF(G$5="","",CHOOSE(G$5,KA1!$R26,KA2!$R26,KA3!$R26,KA4!$R26,KA5!$R26,KA6!$R26))</f>
        <v/>
      </c>
      <c r="H25" s="19">
        <f>IF(H$5="","",CHOOSE(H$5,KA1!$R26,KA2!$R26,KA3!$R26,KA4!$R26,KA5!$R26,KA6!$R26))</f>
        <v/>
      </c>
      <c r="I25" s="48">
        <f>IF(SUMPRODUCT(--ISNUMBER(J25:O25),$J$4:$O$4)=0,"",SUMPRODUCT(J25:O25,$J$4:$O$4)/SUMPRODUCT(--ISNUMBER(J25:O25),$J$4:$O$4))</f>
        <v/>
      </c>
      <c r="J25" s="49" t="inlineStr"/>
      <c r="K25" s="49" t="inlineStr"/>
      <c r="L25" s="49" t="inlineStr"/>
      <c r="M25" s="49" t="inlineStr"/>
      <c r="N25" s="49" t="inlineStr"/>
      <c r="O25" s="49" t="inlineStr"/>
      <c r="P25" s="47">
        <f>IF(SUMPRODUCT(--ISNUMBER(Q25:R25),$Q$4:$R$4)=0,"",SUMPRODUCT(Q25:R25,$Q$4:$R$4)/SUMPRODUCT(--ISNUMBER(Q25:R25),$Q$4:$R$4))</f>
        <v/>
      </c>
      <c r="Q25" s="19">
        <f>IF(Q$5="","",CHOOSE(Q$5,KA1!$R26,KA2!$R26,KA3!$R26,KA4!$R26,KA5!$R26,KA6!$R26))</f>
        <v/>
      </c>
      <c r="R25" s="19">
        <f>IF(R$5="","",CHOOSE(R$5,KA1!$R26,KA2!$R26,KA3!$R26,KA4!$R26,KA5!$R26,KA6!$R26))</f>
        <v/>
      </c>
      <c r="S25" s="48">
        <f>IF(SUMPRODUCT(--ISNUMBER(T25:Y25),$T$4:$Y$4)=0,"",SUMPRODUCT(T25:Y25,$T$4:$Y$4)/SUMPRODUCT(--ISNUMBER(T25:Y25),$T$4:$Y$4))</f>
        <v/>
      </c>
      <c r="T25" s="49" t="inlineStr"/>
      <c r="U25" s="49" t="inlineStr"/>
      <c r="V25" s="49" t="inlineStr"/>
      <c r="W25" s="49" t="inlineStr"/>
      <c r="X25" s="49" t="inlineStr"/>
      <c r="Y25" s="49" t="inlineStr"/>
      <c r="Z25" s="47">
        <f>IF(((--ISNUMBER(D25))*$D$4+(--ISNUMBER(E25))*$E$4)=0,"",(IFERROR(D25*$D$4,0)+IFERROR(E25*$E$4,0))/((--ISNUMBER(D25))*$D$4+(--ISNUMBER(E25))*$E$4))</f>
        <v/>
      </c>
      <c r="AA25" s="50">
        <f>IF(Z25="","",ROUND(Z25,0))</f>
        <v/>
      </c>
      <c r="AB25" s="22">
        <f>IF(AA25="","",INDEX(Notentabelle!$B$4:$B$19,AA25+1))</f>
        <v/>
      </c>
    </row>
    <row r="26">
      <c r="A26" s="37" t="n">
        <v>20</v>
      </c>
      <c r="B26" s="31">
        <f>IF(INDEX(Klassenliste!$B$6:$B$40,20)=0,"",INDEX(Klassenliste!$B$6:$B$40,20))</f>
        <v/>
      </c>
      <c r="C26" s="31">
        <f>IF(INDEX(Klassenliste!$C$6:$C$40,20)=0,"",INDEX(Klassenliste!$C$6:$C$40,20))</f>
        <v/>
      </c>
      <c r="D26" s="47">
        <f>IF(((--ISNUMBER(F26))*$F$4+(--ISNUMBER(I26))*$I$4)=0,"",(IFERROR(F26*$F$4,0)+IFERROR(I26*$I$4,0))/((--ISNUMBER(F26))*$F$4+(--ISNUMBER(I26))*$I$4))</f>
        <v/>
      </c>
      <c r="E26" s="48">
        <f>IF(((--ISNUMBER(P26))*$P$4+(--ISNUMBER(S26))*$S$4)=0,"",(IFERROR(P26*$P$4,0)+IFERROR(S26*$S$4,0))/((--ISNUMBER(P26))*$P$4+(--ISNUMBER(S26))*$S$4))</f>
        <v/>
      </c>
      <c r="F26" s="47">
        <f>IF(SUMPRODUCT(--ISNUMBER(G26:H26),$G$4:$H$4)=0,"",SUMPRODUCT(G26:H26,$G$4:$H$4)/SUMPRODUCT(--ISNUMBER(G26:H26),$G$4:$H$4))</f>
        <v/>
      </c>
      <c r="G26" s="19">
        <f>IF(G$5="","",CHOOSE(G$5,KA1!$R27,KA2!$R27,KA3!$R27,KA4!$R27,KA5!$R27,KA6!$R27))</f>
        <v/>
      </c>
      <c r="H26" s="19">
        <f>IF(H$5="","",CHOOSE(H$5,KA1!$R27,KA2!$R27,KA3!$R27,KA4!$R27,KA5!$R27,KA6!$R27))</f>
        <v/>
      </c>
      <c r="I26" s="48">
        <f>IF(SUMPRODUCT(--ISNUMBER(J26:O26),$J$4:$O$4)=0,"",SUMPRODUCT(J26:O26,$J$4:$O$4)/SUMPRODUCT(--ISNUMBER(J26:O26),$J$4:$O$4))</f>
        <v/>
      </c>
      <c r="J26" s="49" t="inlineStr"/>
      <c r="K26" s="49" t="inlineStr"/>
      <c r="L26" s="49" t="inlineStr"/>
      <c r="M26" s="49" t="inlineStr"/>
      <c r="N26" s="49" t="inlineStr"/>
      <c r="O26" s="49" t="inlineStr"/>
      <c r="P26" s="47">
        <f>IF(SUMPRODUCT(--ISNUMBER(Q26:R26),$Q$4:$R$4)=0,"",SUMPRODUCT(Q26:R26,$Q$4:$R$4)/SUMPRODUCT(--ISNUMBER(Q26:R26),$Q$4:$R$4))</f>
        <v/>
      </c>
      <c r="Q26" s="19">
        <f>IF(Q$5="","",CHOOSE(Q$5,KA1!$R27,KA2!$R27,KA3!$R27,KA4!$R27,KA5!$R27,KA6!$R27))</f>
        <v/>
      </c>
      <c r="R26" s="19">
        <f>IF(R$5="","",CHOOSE(R$5,KA1!$R27,KA2!$R27,KA3!$R27,KA4!$R27,KA5!$R27,KA6!$R27))</f>
        <v/>
      </c>
      <c r="S26" s="48">
        <f>IF(SUMPRODUCT(--ISNUMBER(T26:Y26),$T$4:$Y$4)=0,"",SUMPRODUCT(T26:Y26,$T$4:$Y$4)/SUMPRODUCT(--ISNUMBER(T26:Y26),$T$4:$Y$4))</f>
        <v/>
      </c>
      <c r="T26" s="49" t="inlineStr"/>
      <c r="U26" s="49" t="inlineStr"/>
      <c r="V26" s="49" t="inlineStr"/>
      <c r="W26" s="49" t="inlineStr"/>
      <c r="X26" s="49" t="inlineStr"/>
      <c r="Y26" s="49" t="inlineStr"/>
      <c r="Z26" s="47">
        <f>IF(((--ISNUMBER(D26))*$D$4+(--ISNUMBER(E26))*$E$4)=0,"",(IFERROR(D26*$D$4,0)+IFERROR(E26*$E$4,0))/((--ISNUMBER(D26))*$D$4+(--ISNUMBER(E26))*$E$4))</f>
        <v/>
      </c>
      <c r="AA26" s="50">
        <f>IF(Z26="","",ROUND(Z26,0))</f>
        <v/>
      </c>
      <c r="AB26" s="22">
        <f>IF(AA26="","",INDEX(Notentabelle!$B$4:$B$19,AA26+1))</f>
        <v/>
      </c>
    </row>
    <row r="27">
      <c r="A27" s="37" t="n">
        <v>21</v>
      </c>
      <c r="B27" s="31">
        <f>IF(INDEX(Klassenliste!$B$6:$B$40,21)=0,"",INDEX(Klassenliste!$B$6:$B$40,21))</f>
        <v/>
      </c>
      <c r="C27" s="31">
        <f>IF(INDEX(Klassenliste!$C$6:$C$40,21)=0,"",INDEX(Klassenliste!$C$6:$C$40,21))</f>
        <v/>
      </c>
      <c r="D27" s="47">
        <f>IF(((--ISNUMBER(F27))*$F$4+(--ISNUMBER(I27))*$I$4)=0,"",(IFERROR(F27*$F$4,0)+IFERROR(I27*$I$4,0))/((--ISNUMBER(F27))*$F$4+(--ISNUMBER(I27))*$I$4))</f>
        <v/>
      </c>
      <c r="E27" s="48">
        <f>IF(((--ISNUMBER(P27))*$P$4+(--ISNUMBER(S27))*$S$4)=0,"",(IFERROR(P27*$P$4,0)+IFERROR(S27*$S$4,0))/((--ISNUMBER(P27))*$P$4+(--ISNUMBER(S27))*$S$4))</f>
        <v/>
      </c>
      <c r="F27" s="47">
        <f>IF(SUMPRODUCT(--ISNUMBER(G27:H27),$G$4:$H$4)=0,"",SUMPRODUCT(G27:H27,$G$4:$H$4)/SUMPRODUCT(--ISNUMBER(G27:H27),$G$4:$H$4))</f>
        <v/>
      </c>
      <c r="G27" s="19">
        <f>IF(G$5="","",CHOOSE(G$5,KA1!$R28,KA2!$R28,KA3!$R28,KA4!$R28,KA5!$R28,KA6!$R28))</f>
        <v/>
      </c>
      <c r="H27" s="19">
        <f>IF(H$5="","",CHOOSE(H$5,KA1!$R28,KA2!$R28,KA3!$R28,KA4!$R28,KA5!$R28,KA6!$R28))</f>
        <v/>
      </c>
      <c r="I27" s="48">
        <f>IF(SUMPRODUCT(--ISNUMBER(J27:O27),$J$4:$O$4)=0,"",SUMPRODUCT(J27:O27,$J$4:$O$4)/SUMPRODUCT(--ISNUMBER(J27:O27),$J$4:$O$4))</f>
        <v/>
      </c>
      <c r="J27" s="49" t="inlineStr"/>
      <c r="K27" s="49" t="inlineStr"/>
      <c r="L27" s="49" t="inlineStr"/>
      <c r="M27" s="49" t="inlineStr"/>
      <c r="N27" s="49" t="inlineStr"/>
      <c r="O27" s="49" t="inlineStr"/>
      <c r="P27" s="47">
        <f>IF(SUMPRODUCT(--ISNUMBER(Q27:R27),$Q$4:$R$4)=0,"",SUMPRODUCT(Q27:R27,$Q$4:$R$4)/SUMPRODUCT(--ISNUMBER(Q27:R27),$Q$4:$R$4))</f>
        <v/>
      </c>
      <c r="Q27" s="19">
        <f>IF(Q$5="","",CHOOSE(Q$5,KA1!$R28,KA2!$R28,KA3!$R28,KA4!$R28,KA5!$R28,KA6!$R28))</f>
        <v/>
      </c>
      <c r="R27" s="19">
        <f>IF(R$5="","",CHOOSE(R$5,KA1!$R28,KA2!$R28,KA3!$R28,KA4!$R28,KA5!$R28,KA6!$R28))</f>
        <v/>
      </c>
      <c r="S27" s="48">
        <f>IF(SUMPRODUCT(--ISNUMBER(T27:Y27),$T$4:$Y$4)=0,"",SUMPRODUCT(T27:Y27,$T$4:$Y$4)/SUMPRODUCT(--ISNUMBER(T27:Y27),$T$4:$Y$4))</f>
        <v/>
      </c>
      <c r="T27" s="49" t="inlineStr"/>
      <c r="U27" s="49" t="inlineStr"/>
      <c r="V27" s="49" t="inlineStr"/>
      <c r="W27" s="49" t="inlineStr"/>
      <c r="X27" s="49" t="inlineStr"/>
      <c r="Y27" s="49" t="inlineStr"/>
      <c r="Z27" s="47">
        <f>IF(((--ISNUMBER(D27))*$D$4+(--ISNUMBER(E27))*$E$4)=0,"",(IFERROR(D27*$D$4,0)+IFERROR(E27*$E$4,0))/((--ISNUMBER(D27))*$D$4+(--ISNUMBER(E27))*$E$4))</f>
        <v/>
      </c>
      <c r="AA27" s="50">
        <f>IF(Z27="","",ROUND(Z27,0))</f>
        <v/>
      </c>
      <c r="AB27" s="22">
        <f>IF(AA27="","",INDEX(Notentabelle!$B$4:$B$19,AA27+1))</f>
        <v/>
      </c>
    </row>
    <row r="28">
      <c r="A28" s="37" t="n">
        <v>22</v>
      </c>
      <c r="B28" s="31">
        <f>IF(INDEX(Klassenliste!$B$6:$B$40,22)=0,"",INDEX(Klassenliste!$B$6:$B$40,22))</f>
        <v/>
      </c>
      <c r="C28" s="31">
        <f>IF(INDEX(Klassenliste!$C$6:$C$40,22)=0,"",INDEX(Klassenliste!$C$6:$C$40,22))</f>
        <v/>
      </c>
      <c r="D28" s="47">
        <f>IF(((--ISNUMBER(F28))*$F$4+(--ISNUMBER(I28))*$I$4)=0,"",(IFERROR(F28*$F$4,0)+IFERROR(I28*$I$4,0))/((--ISNUMBER(F28))*$F$4+(--ISNUMBER(I28))*$I$4))</f>
        <v/>
      </c>
      <c r="E28" s="48">
        <f>IF(((--ISNUMBER(P28))*$P$4+(--ISNUMBER(S28))*$S$4)=0,"",(IFERROR(P28*$P$4,0)+IFERROR(S28*$S$4,0))/((--ISNUMBER(P28))*$P$4+(--ISNUMBER(S28))*$S$4))</f>
        <v/>
      </c>
      <c r="F28" s="47">
        <f>IF(SUMPRODUCT(--ISNUMBER(G28:H28),$G$4:$H$4)=0,"",SUMPRODUCT(G28:H28,$G$4:$H$4)/SUMPRODUCT(--ISNUMBER(G28:H28),$G$4:$H$4))</f>
        <v/>
      </c>
      <c r="G28" s="19">
        <f>IF(G$5="","",CHOOSE(G$5,KA1!$R29,KA2!$R29,KA3!$R29,KA4!$R29,KA5!$R29,KA6!$R29))</f>
        <v/>
      </c>
      <c r="H28" s="19">
        <f>IF(H$5="","",CHOOSE(H$5,KA1!$R29,KA2!$R29,KA3!$R29,KA4!$R29,KA5!$R29,KA6!$R29))</f>
        <v/>
      </c>
      <c r="I28" s="48">
        <f>IF(SUMPRODUCT(--ISNUMBER(J28:O28),$J$4:$O$4)=0,"",SUMPRODUCT(J28:O28,$J$4:$O$4)/SUMPRODUCT(--ISNUMBER(J28:O28),$J$4:$O$4))</f>
        <v/>
      </c>
      <c r="J28" s="49" t="inlineStr"/>
      <c r="K28" s="49" t="inlineStr"/>
      <c r="L28" s="49" t="inlineStr"/>
      <c r="M28" s="49" t="inlineStr"/>
      <c r="N28" s="49" t="inlineStr"/>
      <c r="O28" s="49" t="inlineStr"/>
      <c r="P28" s="47">
        <f>IF(SUMPRODUCT(--ISNUMBER(Q28:R28),$Q$4:$R$4)=0,"",SUMPRODUCT(Q28:R28,$Q$4:$R$4)/SUMPRODUCT(--ISNUMBER(Q28:R28),$Q$4:$R$4))</f>
        <v/>
      </c>
      <c r="Q28" s="19">
        <f>IF(Q$5="","",CHOOSE(Q$5,KA1!$R29,KA2!$R29,KA3!$R29,KA4!$R29,KA5!$R29,KA6!$R29))</f>
        <v/>
      </c>
      <c r="R28" s="19">
        <f>IF(R$5="","",CHOOSE(R$5,KA1!$R29,KA2!$R29,KA3!$R29,KA4!$R29,KA5!$R29,KA6!$R29))</f>
        <v/>
      </c>
      <c r="S28" s="48">
        <f>IF(SUMPRODUCT(--ISNUMBER(T28:Y28),$T$4:$Y$4)=0,"",SUMPRODUCT(T28:Y28,$T$4:$Y$4)/SUMPRODUCT(--ISNUMBER(T28:Y28),$T$4:$Y$4))</f>
        <v/>
      </c>
      <c r="T28" s="49" t="inlineStr"/>
      <c r="U28" s="49" t="inlineStr"/>
      <c r="V28" s="49" t="inlineStr"/>
      <c r="W28" s="49" t="inlineStr"/>
      <c r="X28" s="49" t="inlineStr"/>
      <c r="Y28" s="49" t="inlineStr"/>
      <c r="Z28" s="47">
        <f>IF(((--ISNUMBER(D28))*$D$4+(--ISNUMBER(E28))*$E$4)=0,"",(IFERROR(D28*$D$4,0)+IFERROR(E28*$E$4,0))/((--ISNUMBER(D28))*$D$4+(--ISNUMBER(E28))*$E$4))</f>
        <v/>
      </c>
      <c r="AA28" s="50">
        <f>IF(Z28="","",ROUND(Z28,0))</f>
        <v/>
      </c>
      <c r="AB28" s="22">
        <f>IF(AA28="","",INDEX(Notentabelle!$B$4:$B$19,AA28+1))</f>
        <v/>
      </c>
    </row>
    <row r="29">
      <c r="A29" s="37" t="n">
        <v>23</v>
      </c>
      <c r="B29" s="31">
        <f>IF(INDEX(Klassenliste!$B$6:$B$40,23)=0,"",INDEX(Klassenliste!$B$6:$B$40,23))</f>
        <v/>
      </c>
      <c r="C29" s="31">
        <f>IF(INDEX(Klassenliste!$C$6:$C$40,23)=0,"",INDEX(Klassenliste!$C$6:$C$40,23))</f>
        <v/>
      </c>
      <c r="D29" s="47">
        <f>IF(((--ISNUMBER(F29))*$F$4+(--ISNUMBER(I29))*$I$4)=0,"",(IFERROR(F29*$F$4,0)+IFERROR(I29*$I$4,0))/((--ISNUMBER(F29))*$F$4+(--ISNUMBER(I29))*$I$4))</f>
        <v/>
      </c>
      <c r="E29" s="48">
        <f>IF(((--ISNUMBER(P29))*$P$4+(--ISNUMBER(S29))*$S$4)=0,"",(IFERROR(P29*$P$4,0)+IFERROR(S29*$S$4,0))/((--ISNUMBER(P29))*$P$4+(--ISNUMBER(S29))*$S$4))</f>
        <v/>
      </c>
      <c r="F29" s="47">
        <f>IF(SUMPRODUCT(--ISNUMBER(G29:H29),$G$4:$H$4)=0,"",SUMPRODUCT(G29:H29,$G$4:$H$4)/SUMPRODUCT(--ISNUMBER(G29:H29),$G$4:$H$4))</f>
        <v/>
      </c>
      <c r="G29" s="19">
        <f>IF(G$5="","",CHOOSE(G$5,KA1!$R30,KA2!$R30,KA3!$R30,KA4!$R30,KA5!$R30,KA6!$R30))</f>
        <v/>
      </c>
      <c r="H29" s="19">
        <f>IF(H$5="","",CHOOSE(H$5,KA1!$R30,KA2!$R30,KA3!$R30,KA4!$R30,KA5!$R30,KA6!$R30))</f>
        <v/>
      </c>
      <c r="I29" s="48">
        <f>IF(SUMPRODUCT(--ISNUMBER(J29:O29),$J$4:$O$4)=0,"",SUMPRODUCT(J29:O29,$J$4:$O$4)/SUMPRODUCT(--ISNUMBER(J29:O29),$J$4:$O$4))</f>
        <v/>
      </c>
      <c r="J29" s="49" t="inlineStr"/>
      <c r="K29" s="49" t="inlineStr"/>
      <c r="L29" s="49" t="inlineStr"/>
      <c r="M29" s="49" t="inlineStr"/>
      <c r="N29" s="49" t="inlineStr"/>
      <c r="O29" s="49" t="inlineStr"/>
      <c r="P29" s="47">
        <f>IF(SUMPRODUCT(--ISNUMBER(Q29:R29),$Q$4:$R$4)=0,"",SUMPRODUCT(Q29:R29,$Q$4:$R$4)/SUMPRODUCT(--ISNUMBER(Q29:R29),$Q$4:$R$4))</f>
        <v/>
      </c>
      <c r="Q29" s="19">
        <f>IF(Q$5="","",CHOOSE(Q$5,KA1!$R30,KA2!$R30,KA3!$R30,KA4!$R30,KA5!$R30,KA6!$R30))</f>
        <v/>
      </c>
      <c r="R29" s="19">
        <f>IF(R$5="","",CHOOSE(R$5,KA1!$R30,KA2!$R30,KA3!$R30,KA4!$R30,KA5!$R30,KA6!$R30))</f>
        <v/>
      </c>
      <c r="S29" s="48">
        <f>IF(SUMPRODUCT(--ISNUMBER(T29:Y29),$T$4:$Y$4)=0,"",SUMPRODUCT(T29:Y29,$T$4:$Y$4)/SUMPRODUCT(--ISNUMBER(T29:Y29),$T$4:$Y$4))</f>
        <v/>
      </c>
      <c r="T29" s="49" t="inlineStr"/>
      <c r="U29" s="49" t="inlineStr"/>
      <c r="V29" s="49" t="inlineStr"/>
      <c r="W29" s="49" t="inlineStr"/>
      <c r="X29" s="49" t="inlineStr"/>
      <c r="Y29" s="49" t="inlineStr"/>
      <c r="Z29" s="47">
        <f>IF(((--ISNUMBER(D29))*$D$4+(--ISNUMBER(E29))*$E$4)=0,"",(IFERROR(D29*$D$4,0)+IFERROR(E29*$E$4,0))/((--ISNUMBER(D29))*$D$4+(--ISNUMBER(E29))*$E$4))</f>
        <v/>
      </c>
      <c r="AA29" s="50">
        <f>IF(Z29="","",ROUND(Z29,0))</f>
        <v/>
      </c>
      <c r="AB29" s="22">
        <f>IF(AA29="","",INDEX(Notentabelle!$B$4:$B$19,AA29+1))</f>
        <v/>
      </c>
    </row>
    <row r="30">
      <c r="A30" s="37" t="n">
        <v>24</v>
      </c>
      <c r="B30" s="31">
        <f>IF(INDEX(Klassenliste!$B$6:$B$40,24)=0,"",INDEX(Klassenliste!$B$6:$B$40,24))</f>
        <v/>
      </c>
      <c r="C30" s="31">
        <f>IF(INDEX(Klassenliste!$C$6:$C$40,24)=0,"",INDEX(Klassenliste!$C$6:$C$40,24))</f>
        <v/>
      </c>
      <c r="D30" s="47">
        <f>IF(((--ISNUMBER(F30))*$F$4+(--ISNUMBER(I30))*$I$4)=0,"",(IFERROR(F30*$F$4,0)+IFERROR(I30*$I$4,0))/((--ISNUMBER(F30))*$F$4+(--ISNUMBER(I30))*$I$4))</f>
        <v/>
      </c>
      <c r="E30" s="48">
        <f>IF(((--ISNUMBER(P30))*$P$4+(--ISNUMBER(S30))*$S$4)=0,"",(IFERROR(P30*$P$4,0)+IFERROR(S30*$S$4,0))/((--ISNUMBER(P30))*$P$4+(--ISNUMBER(S30))*$S$4))</f>
        <v/>
      </c>
      <c r="F30" s="47">
        <f>IF(SUMPRODUCT(--ISNUMBER(G30:H30),$G$4:$H$4)=0,"",SUMPRODUCT(G30:H30,$G$4:$H$4)/SUMPRODUCT(--ISNUMBER(G30:H30),$G$4:$H$4))</f>
        <v/>
      </c>
      <c r="G30" s="19">
        <f>IF(G$5="","",CHOOSE(G$5,KA1!$R31,KA2!$R31,KA3!$R31,KA4!$R31,KA5!$R31,KA6!$R31))</f>
        <v/>
      </c>
      <c r="H30" s="19">
        <f>IF(H$5="","",CHOOSE(H$5,KA1!$R31,KA2!$R31,KA3!$R31,KA4!$R31,KA5!$R31,KA6!$R31))</f>
        <v/>
      </c>
      <c r="I30" s="48">
        <f>IF(SUMPRODUCT(--ISNUMBER(J30:O30),$J$4:$O$4)=0,"",SUMPRODUCT(J30:O30,$J$4:$O$4)/SUMPRODUCT(--ISNUMBER(J30:O30),$J$4:$O$4))</f>
        <v/>
      </c>
      <c r="J30" s="49" t="inlineStr"/>
      <c r="K30" s="49" t="inlineStr"/>
      <c r="L30" s="49" t="inlineStr"/>
      <c r="M30" s="49" t="inlineStr"/>
      <c r="N30" s="49" t="inlineStr"/>
      <c r="O30" s="49" t="inlineStr"/>
      <c r="P30" s="47">
        <f>IF(SUMPRODUCT(--ISNUMBER(Q30:R30),$Q$4:$R$4)=0,"",SUMPRODUCT(Q30:R30,$Q$4:$R$4)/SUMPRODUCT(--ISNUMBER(Q30:R30),$Q$4:$R$4))</f>
        <v/>
      </c>
      <c r="Q30" s="19">
        <f>IF(Q$5="","",CHOOSE(Q$5,KA1!$R31,KA2!$R31,KA3!$R31,KA4!$R31,KA5!$R31,KA6!$R31))</f>
        <v/>
      </c>
      <c r="R30" s="19">
        <f>IF(R$5="","",CHOOSE(R$5,KA1!$R31,KA2!$R31,KA3!$R31,KA4!$R31,KA5!$R31,KA6!$R31))</f>
        <v/>
      </c>
      <c r="S30" s="48">
        <f>IF(SUMPRODUCT(--ISNUMBER(T30:Y30),$T$4:$Y$4)=0,"",SUMPRODUCT(T30:Y30,$T$4:$Y$4)/SUMPRODUCT(--ISNUMBER(T30:Y30),$T$4:$Y$4))</f>
        <v/>
      </c>
      <c r="T30" s="49" t="inlineStr"/>
      <c r="U30" s="49" t="inlineStr"/>
      <c r="V30" s="49" t="inlineStr"/>
      <c r="W30" s="49" t="inlineStr"/>
      <c r="X30" s="49" t="inlineStr"/>
      <c r="Y30" s="49" t="inlineStr"/>
      <c r="Z30" s="47">
        <f>IF(((--ISNUMBER(D30))*$D$4+(--ISNUMBER(E30))*$E$4)=0,"",(IFERROR(D30*$D$4,0)+IFERROR(E30*$E$4,0))/((--ISNUMBER(D30))*$D$4+(--ISNUMBER(E30))*$E$4))</f>
        <v/>
      </c>
      <c r="AA30" s="50">
        <f>IF(Z30="","",ROUND(Z30,0))</f>
        <v/>
      </c>
      <c r="AB30" s="22">
        <f>IF(AA30="","",INDEX(Notentabelle!$B$4:$B$19,AA30+1))</f>
        <v/>
      </c>
    </row>
    <row r="31">
      <c r="A31" s="37" t="n">
        <v>25</v>
      </c>
      <c r="B31" s="31">
        <f>IF(INDEX(Klassenliste!$B$6:$B$40,25)=0,"",INDEX(Klassenliste!$B$6:$B$40,25))</f>
        <v/>
      </c>
      <c r="C31" s="31">
        <f>IF(INDEX(Klassenliste!$C$6:$C$40,25)=0,"",INDEX(Klassenliste!$C$6:$C$40,25))</f>
        <v/>
      </c>
      <c r="D31" s="47">
        <f>IF(((--ISNUMBER(F31))*$F$4+(--ISNUMBER(I31))*$I$4)=0,"",(IFERROR(F31*$F$4,0)+IFERROR(I31*$I$4,0))/((--ISNUMBER(F31))*$F$4+(--ISNUMBER(I31))*$I$4))</f>
        <v/>
      </c>
      <c r="E31" s="48">
        <f>IF(((--ISNUMBER(P31))*$P$4+(--ISNUMBER(S31))*$S$4)=0,"",(IFERROR(P31*$P$4,0)+IFERROR(S31*$S$4,0))/((--ISNUMBER(P31))*$P$4+(--ISNUMBER(S31))*$S$4))</f>
        <v/>
      </c>
      <c r="F31" s="47">
        <f>IF(SUMPRODUCT(--ISNUMBER(G31:H31),$G$4:$H$4)=0,"",SUMPRODUCT(G31:H31,$G$4:$H$4)/SUMPRODUCT(--ISNUMBER(G31:H31),$G$4:$H$4))</f>
        <v/>
      </c>
      <c r="G31" s="19">
        <f>IF(G$5="","",CHOOSE(G$5,KA1!$R32,KA2!$R32,KA3!$R32,KA4!$R32,KA5!$R32,KA6!$R32))</f>
        <v/>
      </c>
      <c r="H31" s="19">
        <f>IF(H$5="","",CHOOSE(H$5,KA1!$R32,KA2!$R32,KA3!$R32,KA4!$R32,KA5!$R32,KA6!$R32))</f>
        <v/>
      </c>
      <c r="I31" s="48">
        <f>IF(SUMPRODUCT(--ISNUMBER(J31:O31),$J$4:$O$4)=0,"",SUMPRODUCT(J31:O31,$J$4:$O$4)/SUMPRODUCT(--ISNUMBER(J31:O31),$J$4:$O$4))</f>
        <v/>
      </c>
      <c r="J31" s="49" t="inlineStr"/>
      <c r="K31" s="49" t="inlineStr"/>
      <c r="L31" s="49" t="inlineStr"/>
      <c r="M31" s="49" t="inlineStr"/>
      <c r="N31" s="49" t="inlineStr"/>
      <c r="O31" s="49" t="inlineStr"/>
      <c r="P31" s="47">
        <f>IF(SUMPRODUCT(--ISNUMBER(Q31:R31),$Q$4:$R$4)=0,"",SUMPRODUCT(Q31:R31,$Q$4:$R$4)/SUMPRODUCT(--ISNUMBER(Q31:R31),$Q$4:$R$4))</f>
        <v/>
      </c>
      <c r="Q31" s="19">
        <f>IF(Q$5="","",CHOOSE(Q$5,KA1!$R32,KA2!$R32,KA3!$R32,KA4!$R32,KA5!$R32,KA6!$R32))</f>
        <v/>
      </c>
      <c r="R31" s="19">
        <f>IF(R$5="","",CHOOSE(R$5,KA1!$R32,KA2!$R32,KA3!$R32,KA4!$R32,KA5!$R32,KA6!$R32))</f>
        <v/>
      </c>
      <c r="S31" s="48">
        <f>IF(SUMPRODUCT(--ISNUMBER(T31:Y31),$T$4:$Y$4)=0,"",SUMPRODUCT(T31:Y31,$T$4:$Y$4)/SUMPRODUCT(--ISNUMBER(T31:Y31),$T$4:$Y$4))</f>
        <v/>
      </c>
      <c r="T31" s="49" t="inlineStr"/>
      <c r="U31" s="49" t="inlineStr"/>
      <c r="V31" s="49" t="inlineStr"/>
      <c r="W31" s="49" t="inlineStr"/>
      <c r="X31" s="49" t="inlineStr"/>
      <c r="Y31" s="49" t="inlineStr"/>
      <c r="Z31" s="47">
        <f>IF(((--ISNUMBER(D31))*$D$4+(--ISNUMBER(E31))*$E$4)=0,"",(IFERROR(D31*$D$4,0)+IFERROR(E31*$E$4,0))/((--ISNUMBER(D31))*$D$4+(--ISNUMBER(E31))*$E$4))</f>
        <v/>
      </c>
      <c r="AA31" s="50">
        <f>IF(Z31="","",ROUND(Z31,0))</f>
        <v/>
      </c>
      <c r="AB31" s="22">
        <f>IF(AA31="","",INDEX(Notentabelle!$B$4:$B$19,AA31+1))</f>
        <v/>
      </c>
    </row>
    <row r="32">
      <c r="A32" s="37" t="n">
        <v>26</v>
      </c>
      <c r="B32" s="31">
        <f>IF(INDEX(Klassenliste!$B$6:$B$40,26)=0,"",INDEX(Klassenliste!$B$6:$B$40,26))</f>
        <v/>
      </c>
      <c r="C32" s="31">
        <f>IF(INDEX(Klassenliste!$C$6:$C$40,26)=0,"",INDEX(Klassenliste!$C$6:$C$40,26))</f>
        <v/>
      </c>
      <c r="D32" s="47">
        <f>IF(((--ISNUMBER(F32))*$F$4+(--ISNUMBER(I32))*$I$4)=0,"",(IFERROR(F32*$F$4,0)+IFERROR(I32*$I$4,0))/((--ISNUMBER(F32))*$F$4+(--ISNUMBER(I32))*$I$4))</f>
        <v/>
      </c>
      <c r="E32" s="48">
        <f>IF(((--ISNUMBER(P32))*$P$4+(--ISNUMBER(S32))*$S$4)=0,"",(IFERROR(P32*$P$4,0)+IFERROR(S32*$S$4,0))/((--ISNUMBER(P32))*$P$4+(--ISNUMBER(S32))*$S$4))</f>
        <v/>
      </c>
      <c r="F32" s="47">
        <f>IF(SUMPRODUCT(--ISNUMBER(G32:H32),$G$4:$H$4)=0,"",SUMPRODUCT(G32:H32,$G$4:$H$4)/SUMPRODUCT(--ISNUMBER(G32:H32),$G$4:$H$4))</f>
        <v/>
      </c>
      <c r="G32" s="19">
        <f>IF(G$5="","",CHOOSE(G$5,KA1!$R33,KA2!$R33,KA3!$R33,KA4!$R33,KA5!$R33,KA6!$R33))</f>
        <v/>
      </c>
      <c r="H32" s="19">
        <f>IF(H$5="","",CHOOSE(H$5,KA1!$R33,KA2!$R33,KA3!$R33,KA4!$R33,KA5!$R33,KA6!$R33))</f>
        <v/>
      </c>
      <c r="I32" s="48">
        <f>IF(SUMPRODUCT(--ISNUMBER(J32:O32),$J$4:$O$4)=0,"",SUMPRODUCT(J32:O32,$J$4:$O$4)/SUMPRODUCT(--ISNUMBER(J32:O32),$J$4:$O$4))</f>
        <v/>
      </c>
      <c r="J32" s="49" t="inlineStr"/>
      <c r="K32" s="49" t="inlineStr"/>
      <c r="L32" s="49" t="inlineStr"/>
      <c r="M32" s="49" t="inlineStr"/>
      <c r="N32" s="49" t="inlineStr"/>
      <c r="O32" s="49" t="inlineStr"/>
      <c r="P32" s="47">
        <f>IF(SUMPRODUCT(--ISNUMBER(Q32:R32),$Q$4:$R$4)=0,"",SUMPRODUCT(Q32:R32,$Q$4:$R$4)/SUMPRODUCT(--ISNUMBER(Q32:R32),$Q$4:$R$4))</f>
        <v/>
      </c>
      <c r="Q32" s="19">
        <f>IF(Q$5="","",CHOOSE(Q$5,KA1!$R33,KA2!$R33,KA3!$R33,KA4!$R33,KA5!$R33,KA6!$R33))</f>
        <v/>
      </c>
      <c r="R32" s="19">
        <f>IF(R$5="","",CHOOSE(R$5,KA1!$R33,KA2!$R33,KA3!$R33,KA4!$R33,KA5!$R33,KA6!$R33))</f>
        <v/>
      </c>
      <c r="S32" s="48">
        <f>IF(SUMPRODUCT(--ISNUMBER(T32:Y32),$T$4:$Y$4)=0,"",SUMPRODUCT(T32:Y32,$T$4:$Y$4)/SUMPRODUCT(--ISNUMBER(T32:Y32),$T$4:$Y$4))</f>
        <v/>
      </c>
      <c r="T32" s="49" t="inlineStr"/>
      <c r="U32" s="49" t="inlineStr"/>
      <c r="V32" s="49" t="inlineStr"/>
      <c r="W32" s="49" t="inlineStr"/>
      <c r="X32" s="49" t="inlineStr"/>
      <c r="Y32" s="49" t="inlineStr"/>
      <c r="Z32" s="47">
        <f>IF(((--ISNUMBER(D32))*$D$4+(--ISNUMBER(E32))*$E$4)=0,"",(IFERROR(D32*$D$4,0)+IFERROR(E32*$E$4,0))/((--ISNUMBER(D32))*$D$4+(--ISNUMBER(E32))*$E$4))</f>
        <v/>
      </c>
      <c r="AA32" s="50">
        <f>IF(Z32="","",ROUND(Z32,0))</f>
        <v/>
      </c>
      <c r="AB32" s="22">
        <f>IF(AA32="","",INDEX(Notentabelle!$B$4:$B$19,AA32+1))</f>
        <v/>
      </c>
    </row>
    <row r="33">
      <c r="A33" s="37" t="n">
        <v>27</v>
      </c>
      <c r="B33" s="31">
        <f>IF(INDEX(Klassenliste!$B$6:$B$40,27)=0,"",INDEX(Klassenliste!$B$6:$B$40,27))</f>
        <v/>
      </c>
      <c r="C33" s="31">
        <f>IF(INDEX(Klassenliste!$C$6:$C$40,27)=0,"",INDEX(Klassenliste!$C$6:$C$40,27))</f>
        <v/>
      </c>
      <c r="D33" s="47">
        <f>IF(((--ISNUMBER(F33))*$F$4+(--ISNUMBER(I33))*$I$4)=0,"",(IFERROR(F33*$F$4,0)+IFERROR(I33*$I$4,0))/((--ISNUMBER(F33))*$F$4+(--ISNUMBER(I33))*$I$4))</f>
        <v/>
      </c>
      <c r="E33" s="48">
        <f>IF(((--ISNUMBER(P33))*$P$4+(--ISNUMBER(S33))*$S$4)=0,"",(IFERROR(P33*$P$4,0)+IFERROR(S33*$S$4,0))/((--ISNUMBER(P33))*$P$4+(--ISNUMBER(S33))*$S$4))</f>
        <v/>
      </c>
      <c r="F33" s="47">
        <f>IF(SUMPRODUCT(--ISNUMBER(G33:H33),$G$4:$H$4)=0,"",SUMPRODUCT(G33:H33,$G$4:$H$4)/SUMPRODUCT(--ISNUMBER(G33:H33),$G$4:$H$4))</f>
        <v/>
      </c>
      <c r="G33" s="19">
        <f>IF(G$5="","",CHOOSE(G$5,KA1!$R34,KA2!$R34,KA3!$R34,KA4!$R34,KA5!$R34,KA6!$R34))</f>
        <v/>
      </c>
      <c r="H33" s="19">
        <f>IF(H$5="","",CHOOSE(H$5,KA1!$R34,KA2!$R34,KA3!$R34,KA4!$R34,KA5!$R34,KA6!$R34))</f>
        <v/>
      </c>
      <c r="I33" s="48">
        <f>IF(SUMPRODUCT(--ISNUMBER(J33:O33),$J$4:$O$4)=0,"",SUMPRODUCT(J33:O33,$J$4:$O$4)/SUMPRODUCT(--ISNUMBER(J33:O33),$J$4:$O$4))</f>
        <v/>
      </c>
      <c r="J33" s="49" t="inlineStr"/>
      <c r="K33" s="49" t="inlineStr"/>
      <c r="L33" s="49" t="inlineStr"/>
      <c r="M33" s="49" t="inlineStr"/>
      <c r="N33" s="49" t="inlineStr"/>
      <c r="O33" s="49" t="inlineStr"/>
      <c r="P33" s="47">
        <f>IF(SUMPRODUCT(--ISNUMBER(Q33:R33),$Q$4:$R$4)=0,"",SUMPRODUCT(Q33:R33,$Q$4:$R$4)/SUMPRODUCT(--ISNUMBER(Q33:R33),$Q$4:$R$4))</f>
        <v/>
      </c>
      <c r="Q33" s="19">
        <f>IF(Q$5="","",CHOOSE(Q$5,KA1!$R34,KA2!$R34,KA3!$R34,KA4!$R34,KA5!$R34,KA6!$R34))</f>
        <v/>
      </c>
      <c r="R33" s="19">
        <f>IF(R$5="","",CHOOSE(R$5,KA1!$R34,KA2!$R34,KA3!$R34,KA4!$R34,KA5!$R34,KA6!$R34))</f>
        <v/>
      </c>
      <c r="S33" s="48">
        <f>IF(SUMPRODUCT(--ISNUMBER(T33:Y33),$T$4:$Y$4)=0,"",SUMPRODUCT(T33:Y33,$T$4:$Y$4)/SUMPRODUCT(--ISNUMBER(T33:Y33),$T$4:$Y$4))</f>
        <v/>
      </c>
      <c r="T33" s="49" t="inlineStr"/>
      <c r="U33" s="49" t="inlineStr"/>
      <c r="V33" s="49" t="inlineStr"/>
      <c r="W33" s="49" t="inlineStr"/>
      <c r="X33" s="49" t="inlineStr"/>
      <c r="Y33" s="49" t="inlineStr"/>
      <c r="Z33" s="47">
        <f>IF(((--ISNUMBER(D33))*$D$4+(--ISNUMBER(E33))*$E$4)=0,"",(IFERROR(D33*$D$4,0)+IFERROR(E33*$E$4,0))/((--ISNUMBER(D33))*$D$4+(--ISNUMBER(E33))*$E$4))</f>
        <v/>
      </c>
      <c r="AA33" s="50">
        <f>IF(Z33="","",ROUND(Z33,0))</f>
        <v/>
      </c>
      <c r="AB33" s="22">
        <f>IF(AA33="","",INDEX(Notentabelle!$B$4:$B$19,AA33+1))</f>
        <v/>
      </c>
    </row>
    <row r="34">
      <c r="A34" s="37" t="n">
        <v>28</v>
      </c>
      <c r="B34" s="31">
        <f>IF(INDEX(Klassenliste!$B$6:$B$40,28)=0,"",INDEX(Klassenliste!$B$6:$B$40,28))</f>
        <v/>
      </c>
      <c r="C34" s="31">
        <f>IF(INDEX(Klassenliste!$C$6:$C$40,28)=0,"",INDEX(Klassenliste!$C$6:$C$40,28))</f>
        <v/>
      </c>
      <c r="D34" s="47">
        <f>IF(((--ISNUMBER(F34))*$F$4+(--ISNUMBER(I34))*$I$4)=0,"",(IFERROR(F34*$F$4,0)+IFERROR(I34*$I$4,0))/((--ISNUMBER(F34))*$F$4+(--ISNUMBER(I34))*$I$4))</f>
        <v/>
      </c>
      <c r="E34" s="48">
        <f>IF(((--ISNUMBER(P34))*$P$4+(--ISNUMBER(S34))*$S$4)=0,"",(IFERROR(P34*$P$4,0)+IFERROR(S34*$S$4,0))/((--ISNUMBER(P34))*$P$4+(--ISNUMBER(S34))*$S$4))</f>
        <v/>
      </c>
      <c r="F34" s="47">
        <f>IF(SUMPRODUCT(--ISNUMBER(G34:H34),$G$4:$H$4)=0,"",SUMPRODUCT(G34:H34,$G$4:$H$4)/SUMPRODUCT(--ISNUMBER(G34:H34),$G$4:$H$4))</f>
        <v/>
      </c>
      <c r="G34" s="19">
        <f>IF(G$5="","",CHOOSE(G$5,KA1!$R35,KA2!$R35,KA3!$R35,KA4!$R35,KA5!$R35,KA6!$R35))</f>
        <v/>
      </c>
      <c r="H34" s="19">
        <f>IF(H$5="","",CHOOSE(H$5,KA1!$R35,KA2!$R35,KA3!$R35,KA4!$R35,KA5!$R35,KA6!$R35))</f>
        <v/>
      </c>
      <c r="I34" s="48">
        <f>IF(SUMPRODUCT(--ISNUMBER(J34:O34),$J$4:$O$4)=0,"",SUMPRODUCT(J34:O34,$J$4:$O$4)/SUMPRODUCT(--ISNUMBER(J34:O34),$J$4:$O$4))</f>
        <v/>
      </c>
      <c r="J34" s="49" t="inlineStr"/>
      <c r="K34" s="49" t="inlineStr"/>
      <c r="L34" s="49" t="inlineStr"/>
      <c r="M34" s="49" t="inlineStr"/>
      <c r="N34" s="49" t="inlineStr"/>
      <c r="O34" s="49" t="inlineStr"/>
      <c r="P34" s="47">
        <f>IF(SUMPRODUCT(--ISNUMBER(Q34:R34),$Q$4:$R$4)=0,"",SUMPRODUCT(Q34:R34,$Q$4:$R$4)/SUMPRODUCT(--ISNUMBER(Q34:R34),$Q$4:$R$4))</f>
        <v/>
      </c>
      <c r="Q34" s="19">
        <f>IF(Q$5="","",CHOOSE(Q$5,KA1!$R35,KA2!$R35,KA3!$R35,KA4!$R35,KA5!$R35,KA6!$R35))</f>
        <v/>
      </c>
      <c r="R34" s="19">
        <f>IF(R$5="","",CHOOSE(R$5,KA1!$R35,KA2!$R35,KA3!$R35,KA4!$R35,KA5!$R35,KA6!$R35))</f>
        <v/>
      </c>
      <c r="S34" s="48">
        <f>IF(SUMPRODUCT(--ISNUMBER(T34:Y34),$T$4:$Y$4)=0,"",SUMPRODUCT(T34:Y34,$T$4:$Y$4)/SUMPRODUCT(--ISNUMBER(T34:Y34),$T$4:$Y$4))</f>
        <v/>
      </c>
      <c r="T34" s="49" t="inlineStr"/>
      <c r="U34" s="49" t="inlineStr"/>
      <c r="V34" s="49" t="inlineStr"/>
      <c r="W34" s="49" t="inlineStr"/>
      <c r="X34" s="49" t="inlineStr"/>
      <c r="Y34" s="49" t="inlineStr"/>
      <c r="Z34" s="47">
        <f>IF(((--ISNUMBER(D34))*$D$4+(--ISNUMBER(E34))*$E$4)=0,"",(IFERROR(D34*$D$4,0)+IFERROR(E34*$E$4,0))/((--ISNUMBER(D34))*$D$4+(--ISNUMBER(E34))*$E$4))</f>
        <v/>
      </c>
      <c r="AA34" s="50">
        <f>IF(Z34="","",ROUND(Z34,0))</f>
        <v/>
      </c>
      <c r="AB34" s="22">
        <f>IF(AA34="","",INDEX(Notentabelle!$B$4:$B$19,AA34+1))</f>
        <v/>
      </c>
    </row>
    <row r="35">
      <c r="A35" s="37" t="n">
        <v>29</v>
      </c>
      <c r="B35" s="31">
        <f>IF(INDEX(Klassenliste!$B$6:$B$40,29)=0,"",INDEX(Klassenliste!$B$6:$B$40,29))</f>
        <v/>
      </c>
      <c r="C35" s="31">
        <f>IF(INDEX(Klassenliste!$C$6:$C$40,29)=0,"",INDEX(Klassenliste!$C$6:$C$40,29))</f>
        <v/>
      </c>
      <c r="D35" s="47">
        <f>IF(((--ISNUMBER(F35))*$F$4+(--ISNUMBER(I35))*$I$4)=0,"",(IFERROR(F35*$F$4,0)+IFERROR(I35*$I$4,0))/((--ISNUMBER(F35))*$F$4+(--ISNUMBER(I35))*$I$4))</f>
        <v/>
      </c>
      <c r="E35" s="48">
        <f>IF(((--ISNUMBER(P35))*$P$4+(--ISNUMBER(S35))*$S$4)=0,"",(IFERROR(P35*$P$4,0)+IFERROR(S35*$S$4,0))/((--ISNUMBER(P35))*$P$4+(--ISNUMBER(S35))*$S$4))</f>
        <v/>
      </c>
      <c r="F35" s="47">
        <f>IF(SUMPRODUCT(--ISNUMBER(G35:H35),$G$4:$H$4)=0,"",SUMPRODUCT(G35:H35,$G$4:$H$4)/SUMPRODUCT(--ISNUMBER(G35:H35),$G$4:$H$4))</f>
        <v/>
      </c>
      <c r="G35" s="19">
        <f>IF(G$5="","",CHOOSE(G$5,KA1!$R36,KA2!$R36,KA3!$R36,KA4!$R36,KA5!$R36,KA6!$R36))</f>
        <v/>
      </c>
      <c r="H35" s="19">
        <f>IF(H$5="","",CHOOSE(H$5,KA1!$R36,KA2!$R36,KA3!$R36,KA4!$R36,KA5!$R36,KA6!$R36))</f>
        <v/>
      </c>
      <c r="I35" s="48">
        <f>IF(SUMPRODUCT(--ISNUMBER(J35:O35),$J$4:$O$4)=0,"",SUMPRODUCT(J35:O35,$J$4:$O$4)/SUMPRODUCT(--ISNUMBER(J35:O35),$J$4:$O$4))</f>
        <v/>
      </c>
      <c r="J35" s="49" t="inlineStr"/>
      <c r="K35" s="49" t="inlineStr"/>
      <c r="L35" s="49" t="inlineStr"/>
      <c r="M35" s="49" t="inlineStr"/>
      <c r="N35" s="49" t="inlineStr"/>
      <c r="O35" s="49" t="inlineStr"/>
      <c r="P35" s="47">
        <f>IF(SUMPRODUCT(--ISNUMBER(Q35:R35),$Q$4:$R$4)=0,"",SUMPRODUCT(Q35:R35,$Q$4:$R$4)/SUMPRODUCT(--ISNUMBER(Q35:R35),$Q$4:$R$4))</f>
        <v/>
      </c>
      <c r="Q35" s="19">
        <f>IF(Q$5="","",CHOOSE(Q$5,KA1!$R36,KA2!$R36,KA3!$R36,KA4!$R36,KA5!$R36,KA6!$R36))</f>
        <v/>
      </c>
      <c r="R35" s="19">
        <f>IF(R$5="","",CHOOSE(R$5,KA1!$R36,KA2!$R36,KA3!$R36,KA4!$R36,KA5!$R36,KA6!$R36))</f>
        <v/>
      </c>
      <c r="S35" s="48">
        <f>IF(SUMPRODUCT(--ISNUMBER(T35:Y35),$T$4:$Y$4)=0,"",SUMPRODUCT(T35:Y35,$T$4:$Y$4)/SUMPRODUCT(--ISNUMBER(T35:Y35),$T$4:$Y$4))</f>
        <v/>
      </c>
      <c r="T35" s="49" t="inlineStr"/>
      <c r="U35" s="49" t="inlineStr"/>
      <c r="V35" s="49" t="inlineStr"/>
      <c r="W35" s="49" t="inlineStr"/>
      <c r="X35" s="49" t="inlineStr"/>
      <c r="Y35" s="49" t="inlineStr"/>
      <c r="Z35" s="47">
        <f>IF(((--ISNUMBER(D35))*$D$4+(--ISNUMBER(E35))*$E$4)=0,"",(IFERROR(D35*$D$4,0)+IFERROR(E35*$E$4,0))/((--ISNUMBER(D35))*$D$4+(--ISNUMBER(E35))*$E$4))</f>
        <v/>
      </c>
      <c r="AA35" s="50">
        <f>IF(Z35="","",ROUND(Z35,0))</f>
        <v/>
      </c>
      <c r="AB35" s="22">
        <f>IF(AA35="","",INDEX(Notentabelle!$B$4:$B$19,AA35+1))</f>
        <v/>
      </c>
    </row>
    <row r="36">
      <c r="A36" s="37" t="n">
        <v>30</v>
      </c>
      <c r="B36" s="31">
        <f>IF(INDEX(Klassenliste!$B$6:$B$40,30)=0,"",INDEX(Klassenliste!$B$6:$B$40,30))</f>
        <v/>
      </c>
      <c r="C36" s="31">
        <f>IF(INDEX(Klassenliste!$C$6:$C$40,30)=0,"",INDEX(Klassenliste!$C$6:$C$40,30))</f>
        <v/>
      </c>
      <c r="D36" s="47">
        <f>IF(((--ISNUMBER(F36))*$F$4+(--ISNUMBER(I36))*$I$4)=0,"",(IFERROR(F36*$F$4,0)+IFERROR(I36*$I$4,0))/((--ISNUMBER(F36))*$F$4+(--ISNUMBER(I36))*$I$4))</f>
        <v/>
      </c>
      <c r="E36" s="48">
        <f>IF(((--ISNUMBER(P36))*$P$4+(--ISNUMBER(S36))*$S$4)=0,"",(IFERROR(P36*$P$4,0)+IFERROR(S36*$S$4,0))/((--ISNUMBER(P36))*$P$4+(--ISNUMBER(S36))*$S$4))</f>
        <v/>
      </c>
      <c r="F36" s="47">
        <f>IF(SUMPRODUCT(--ISNUMBER(G36:H36),$G$4:$H$4)=0,"",SUMPRODUCT(G36:H36,$G$4:$H$4)/SUMPRODUCT(--ISNUMBER(G36:H36),$G$4:$H$4))</f>
        <v/>
      </c>
      <c r="G36" s="19">
        <f>IF(G$5="","",CHOOSE(G$5,KA1!$R37,KA2!$R37,KA3!$R37,KA4!$R37,KA5!$R37,KA6!$R37))</f>
        <v/>
      </c>
      <c r="H36" s="19">
        <f>IF(H$5="","",CHOOSE(H$5,KA1!$R37,KA2!$R37,KA3!$R37,KA4!$R37,KA5!$R37,KA6!$R37))</f>
        <v/>
      </c>
      <c r="I36" s="48">
        <f>IF(SUMPRODUCT(--ISNUMBER(J36:O36),$J$4:$O$4)=0,"",SUMPRODUCT(J36:O36,$J$4:$O$4)/SUMPRODUCT(--ISNUMBER(J36:O36),$J$4:$O$4))</f>
        <v/>
      </c>
      <c r="J36" s="49" t="inlineStr"/>
      <c r="K36" s="49" t="inlineStr"/>
      <c r="L36" s="49" t="inlineStr"/>
      <c r="M36" s="49" t="inlineStr"/>
      <c r="N36" s="49" t="inlineStr"/>
      <c r="O36" s="49" t="inlineStr"/>
      <c r="P36" s="47">
        <f>IF(SUMPRODUCT(--ISNUMBER(Q36:R36),$Q$4:$R$4)=0,"",SUMPRODUCT(Q36:R36,$Q$4:$R$4)/SUMPRODUCT(--ISNUMBER(Q36:R36),$Q$4:$R$4))</f>
        <v/>
      </c>
      <c r="Q36" s="19">
        <f>IF(Q$5="","",CHOOSE(Q$5,KA1!$R37,KA2!$R37,KA3!$R37,KA4!$R37,KA5!$R37,KA6!$R37))</f>
        <v/>
      </c>
      <c r="R36" s="19">
        <f>IF(R$5="","",CHOOSE(R$5,KA1!$R37,KA2!$R37,KA3!$R37,KA4!$R37,KA5!$R37,KA6!$R37))</f>
        <v/>
      </c>
      <c r="S36" s="48">
        <f>IF(SUMPRODUCT(--ISNUMBER(T36:Y36),$T$4:$Y$4)=0,"",SUMPRODUCT(T36:Y36,$T$4:$Y$4)/SUMPRODUCT(--ISNUMBER(T36:Y36),$T$4:$Y$4))</f>
        <v/>
      </c>
      <c r="T36" s="49" t="inlineStr"/>
      <c r="U36" s="49" t="inlineStr"/>
      <c r="V36" s="49" t="inlineStr"/>
      <c r="W36" s="49" t="inlineStr"/>
      <c r="X36" s="49" t="inlineStr"/>
      <c r="Y36" s="49" t="inlineStr"/>
      <c r="Z36" s="47">
        <f>IF(((--ISNUMBER(D36))*$D$4+(--ISNUMBER(E36))*$E$4)=0,"",(IFERROR(D36*$D$4,0)+IFERROR(E36*$E$4,0))/((--ISNUMBER(D36))*$D$4+(--ISNUMBER(E36))*$E$4))</f>
        <v/>
      </c>
      <c r="AA36" s="50">
        <f>IF(Z36="","",ROUND(Z36,0))</f>
        <v/>
      </c>
      <c r="AB36" s="22">
        <f>IF(AA36="","",INDEX(Notentabelle!$B$4:$B$19,AA36+1))</f>
        <v/>
      </c>
    </row>
    <row r="37">
      <c r="A37" s="37" t="n">
        <v>31</v>
      </c>
      <c r="B37" s="31">
        <f>IF(INDEX(Klassenliste!$B$6:$B$40,31)=0,"",INDEX(Klassenliste!$B$6:$B$40,31))</f>
        <v/>
      </c>
      <c r="C37" s="31">
        <f>IF(INDEX(Klassenliste!$C$6:$C$40,31)=0,"",INDEX(Klassenliste!$C$6:$C$40,31))</f>
        <v/>
      </c>
      <c r="D37" s="47">
        <f>IF(((--ISNUMBER(F37))*$F$4+(--ISNUMBER(I37))*$I$4)=0,"",(IFERROR(F37*$F$4,0)+IFERROR(I37*$I$4,0))/((--ISNUMBER(F37))*$F$4+(--ISNUMBER(I37))*$I$4))</f>
        <v/>
      </c>
      <c r="E37" s="48">
        <f>IF(((--ISNUMBER(P37))*$P$4+(--ISNUMBER(S37))*$S$4)=0,"",(IFERROR(P37*$P$4,0)+IFERROR(S37*$S$4,0))/((--ISNUMBER(P37))*$P$4+(--ISNUMBER(S37))*$S$4))</f>
        <v/>
      </c>
      <c r="F37" s="47">
        <f>IF(SUMPRODUCT(--ISNUMBER(G37:H37),$G$4:$H$4)=0,"",SUMPRODUCT(G37:H37,$G$4:$H$4)/SUMPRODUCT(--ISNUMBER(G37:H37),$G$4:$H$4))</f>
        <v/>
      </c>
      <c r="G37" s="19">
        <f>IF(G$5="","",CHOOSE(G$5,KA1!$R38,KA2!$R38,KA3!$R38,KA4!$R38,KA5!$R38,KA6!$R38))</f>
        <v/>
      </c>
      <c r="H37" s="19">
        <f>IF(H$5="","",CHOOSE(H$5,KA1!$R38,KA2!$R38,KA3!$R38,KA4!$R38,KA5!$R38,KA6!$R38))</f>
        <v/>
      </c>
      <c r="I37" s="48">
        <f>IF(SUMPRODUCT(--ISNUMBER(J37:O37),$J$4:$O$4)=0,"",SUMPRODUCT(J37:O37,$J$4:$O$4)/SUMPRODUCT(--ISNUMBER(J37:O37),$J$4:$O$4))</f>
        <v/>
      </c>
      <c r="J37" s="49" t="inlineStr"/>
      <c r="K37" s="49" t="inlineStr"/>
      <c r="L37" s="49" t="inlineStr"/>
      <c r="M37" s="49" t="inlineStr"/>
      <c r="N37" s="49" t="inlineStr"/>
      <c r="O37" s="49" t="inlineStr"/>
      <c r="P37" s="47">
        <f>IF(SUMPRODUCT(--ISNUMBER(Q37:R37),$Q$4:$R$4)=0,"",SUMPRODUCT(Q37:R37,$Q$4:$R$4)/SUMPRODUCT(--ISNUMBER(Q37:R37),$Q$4:$R$4))</f>
        <v/>
      </c>
      <c r="Q37" s="19">
        <f>IF(Q$5="","",CHOOSE(Q$5,KA1!$R38,KA2!$R38,KA3!$R38,KA4!$R38,KA5!$R38,KA6!$R38))</f>
        <v/>
      </c>
      <c r="R37" s="19">
        <f>IF(R$5="","",CHOOSE(R$5,KA1!$R38,KA2!$R38,KA3!$R38,KA4!$R38,KA5!$R38,KA6!$R38))</f>
        <v/>
      </c>
      <c r="S37" s="48">
        <f>IF(SUMPRODUCT(--ISNUMBER(T37:Y37),$T$4:$Y$4)=0,"",SUMPRODUCT(T37:Y37,$T$4:$Y$4)/SUMPRODUCT(--ISNUMBER(T37:Y37),$T$4:$Y$4))</f>
        <v/>
      </c>
      <c r="T37" s="49" t="inlineStr"/>
      <c r="U37" s="49" t="inlineStr"/>
      <c r="V37" s="49" t="inlineStr"/>
      <c r="W37" s="49" t="inlineStr"/>
      <c r="X37" s="49" t="inlineStr"/>
      <c r="Y37" s="49" t="inlineStr"/>
      <c r="Z37" s="47">
        <f>IF(((--ISNUMBER(D37))*$D$4+(--ISNUMBER(E37))*$E$4)=0,"",(IFERROR(D37*$D$4,0)+IFERROR(E37*$E$4,0))/((--ISNUMBER(D37))*$D$4+(--ISNUMBER(E37))*$E$4))</f>
        <v/>
      </c>
      <c r="AA37" s="50">
        <f>IF(Z37="","",ROUND(Z37,0))</f>
        <v/>
      </c>
      <c r="AB37" s="22">
        <f>IF(AA37="","",INDEX(Notentabelle!$B$4:$B$19,AA37+1))</f>
        <v/>
      </c>
    </row>
    <row r="38">
      <c r="A38" s="37" t="n">
        <v>32</v>
      </c>
      <c r="B38" s="31">
        <f>IF(INDEX(Klassenliste!$B$6:$B$40,32)=0,"",INDEX(Klassenliste!$B$6:$B$40,32))</f>
        <v/>
      </c>
      <c r="C38" s="31">
        <f>IF(INDEX(Klassenliste!$C$6:$C$40,32)=0,"",INDEX(Klassenliste!$C$6:$C$40,32))</f>
        <v/>
      </c>
      <c r="D38" s="47">
        <f>IF(((--ISNUMBER(F38))*$F$4+(--ISNUMBER(I38))*$I$4)=0,"",(IFERROR(F38*$F$4,0)+IFERROR(I38*$I$4,0))/((--ISNUMBER(F38))*$F$4+(--ISNUMBER(I38))*$I$4))</f>
        <v/>
      </c>
      <c r="E38" s="48">
        <f>IF(((--ISNUMBER(P38))*$P$4+(--ISNUMBER(S38))*$S$4)=0,"",(IFERROR(P38*$P$4,0)+IFERROR(S38*$S$4,0))/((--ISNUMBER(P38))*$P$4+(--ISNUMBER(S38))*$S$4))</f>
        <v/>
      </c>
      <c r="F38" s="47">
        <f>IF(SUMPRODUCT(--ISNUMBER(G38:H38),$G$4:$H$4)=0,"",SUMPRODUCT(G38:H38,$G$4:$H$4)/SUMPRODUCT(--ISNUMBER(G38:H38),$G$4:$H$4))</f>
        <v/>
      </c>
      <c r="G38" s="19">
        <f>IF(G$5="","",CHOOSE(G$5,KA1!$R39,KA2!$R39,KA3!$R39,KA4!$R39,KA5!$R39,KA6!$R39))</f>
        <v/>
      </c>
      <c r="H38" s="19">
        <f>IF(H$5="","",CHOOSE(H$5,KA1!$R39,KA2!$R39,KA3!$R39,KA4!$R39,KA5!$R39,KA6!$R39))</f>
        <v/>
      </c>
      <c r="I38" s="48">
        <f>IF(SUMPRODUCT(--ISNUMBER(J38:O38),$J$4:$O$4)=0,"",SUMPRODUCT(J38:O38,$J$4:$O$4)/SUMPRODUCT(--ISNUMBER(J38:O38),$J$4:$O$4))</f>
        <v/>
      </c>
      <c r="J38" s="49" t="inlineStr"/>
      <c r="K38" s="49" t="inlineStr"/>
      <c r="L38" s="49" t="inlineStr"/>
      <c r="M38" s="49" t="inlineStr"/>
      <c r="N38" s="49" t="inlineStr"/>
      <c r="O38" s="49" t="inlineStr"/>
      <c r="P38" s="47">
        <f>IF(SUMPRODUCT(--ISNUMBER(Q38:R38),$Q$4:$R$4)=0,"",SUMPRODUCT(Q38:R38,$Q$4:$R$4)/SUMPRODUCT(--ISNUMBER(Q38:R38),$Q$4:$R$4))</f>
        <v/>
      </c>
      <c r="Q38" s="19">
        <f>IF(Q$5="","",CHOOSE(Q$5,KA1!$R39,KA2!$R39,KA3!$R39,KA4!$R39,KA5!$R39,KA6!$R39))</f>
        <v/>
      </c>
      <c r="R38" s="19">
        <f>IF(R$5="","",CHOOSE(R$5,KA1!$R39,KA2!$R39,KA3!$R39,KA4!$R39,KA5!$R39,KA6!$R39))</f>
        <v/>
      </c>
      <c r="S38" s="48">
        <f>IF(SUMPRODUCT(--ISNUMBER(T38:Y38),$T$4:$Y$4)=0,"",SUMPRODUCT(T38:Y38,$T$4:$Y$4)/SUMPRODUCT(--ISNUMBER(T38:Y38),$T$4:$Y$4))</f>
        <v/>
      </c>
      <c r="T38" s="49" t="inlineStr"/>
      <c r="U38" s="49" t="inlineStr"/>
      <c r="V38" s="49" t="inlineStr"/>
      <c r="W38" s="49" t="inlineStr"/>
      <c r="X38" s="49" t="inlineStr"/>
      <c r="Y38" s="49" t="inlineStr"/>
      <c r="Z38" s="47">
        <f>IF(((--ISNUMBER(D38))*$D$4+(--ISNUMBER(E38))*$E$4)=0,"",(IFERROR(D38*$D$4,0)+IFERROR(E38*$E$4,0))/((--ISNUMBER(D38))*$D$4+(--ISNUMBER(E38))*$E$4))</f>
        <v/>
      </c>
      <c r="AA38" s="50">
        <f>IF(Z38="","",ROUND(Z38,0))</f>
        <v/>
      </c>
      <c r="AB38" s="22">
        <f>IF(AA38="","",INDEX(Notentabelle!$B$4:$B$19,AA38+1))</f>
        <v/>
      </c>
    </row>
    <row r="39">
      <c r="A39" s="37" t="n">
        <v>33</v>
      </c>
      <c r="B39" s="31">
        <f>IF(INDEX(Klassenliste!$B$6:$B$40,33)=0,"",INDEX(Klassenliste!$B$6:$B$40,33))</f>
        <v/>
      </c>
      <c r="C39" s="31">
        <f>IF(INDEX(Klassenliste!$C$6:$C$40,33)=0,"",INDEX(Klassenliste!$C$6:$C$40,33))</f>
        <v/>
      </c>
      <c r="D39" s="47">
        <f>IF(((--ISNUMBER(F39))*$F$4+(--ISNUMBER(I39))*$I$4)=0,"",(IFERROR(F39*$F$4,0)+IFERROR(I39*$I$4,0))/((--ISNUMBER(F39))*$F$4+(--ISNUMBER(I39))*$I$4))</f>
        <v/>
      </c>
      <c r="E39" s="48">
        <f>IF(((--ISNUMBER(P39))*$P$4+(--ISNUMBER(S39))*$S$4)=0,"",(IFERROR(P39*$P$4,0)+IFERROR(S39*$S$4,0))/((--ISNUMBER(P39))*$P$4+(--ISNUMBER(S39))*$S$4))</f>
        <v/>
      </c>
      <c r="F39" s="47">
        <f>IF(SUMPRODUCT(--ISNUMBER(G39:H39),$G$4:$H$4)=0,"",SUMPRODUCT(G39:H39,$G$4:$H$4)/SUMPRODUCT(--ISNUMBER(G39:H39),$G$4:$H$4))</f>
        <v/>
      </c>
      <c r="G39" s="19">
        <f>IF(G$5="","",CHOOSE(G$5,KA1!$R40,KA2!$R40,KA3!$R40,KA4!$R40,KA5!$R40,KA6!$R40))</f>
        <v/>
      </c>
      <c r="H39" s="19">
        <f>IF(H$5="","",CHOOSE(H$5,KA1!$R40,KA2!$R40,KA3!$R40,KA4!$R40,KA5!$R40,KA6!$R40))</f>
        <v/>
      </c>
      <c r="I39" s="48">
        <f>IF(SUMPRODUCT(--ISNUMBER(J39:O39),$J$4:$O$4)=0,"",SUMPRODUCT(J39:O39,$J$4:$O$4)/SUMPRODUCT(--ISNUMBER(J39:O39),$J$4:$O$4))</f>
        <v/>
      </c>
      <c r="J39" s="49" t="inlineStr"/>
      <c r="K39" s="49" t="inlineStr"/>
      <c r="L39" s="49" t="inlineStr"/>
      <c r="M39" s="49" t="inlineStr"/>
      <c r="N39" s="49" t="inlineStr"/>
      <c r="O39" s="49" t="inlineStr"/>
      <c r="P39" s="47">
        <f>IF(SUMPRODUCT(--ISNUMBER(Q39:R39),$Q$4:$R$4)=0,"",SUMPRODUCT(Q39:R39,$Q$4:$R$4)/SUMPRODUCT(--ISNUMBER(Q39:R39),$Q$4:$R$4))</f>
        <v/>
      </c>
      <c r="Q39" s="19">
        <f>IF(Q$5="","",CHOOSE(Q$5,KA1!$R40,KA2!$R40,KA3!$R40,KA4!$R40,KA5!$R40,KA6!$R40))</f>
        <v/>
      </c>
      <c r="R39" s="19">
        <f>IF(R$5="","",CHOOSE(R$5,KA1!$R40,KA2!$R40,KA3!$R40,KA4!$R40,KA5!$R40,KA6!$R40))</f>
        <v/>
      </c>
      <c r="S39" s="48">
        <f>IF(SUMPRODUCT(--ISNUMBER(T39:Y39),$T$4:$Y$4)=0,"",SUMPRODUCT(T39:Y39,$T$4:$Y$4)/SUMPRODUCT(--ISNUMBER(T39:Y39),$T$4:$Y$4))</f>
        <v/>
      </c>
      <c r="T39" s="49" t="inlineStr"/>
      <c r="U39" s="49" t="inlineStr"/>
      <c r="V39" s="49" t="inlineStr"/>
      <c r="W39" s="49" t="inlineStr"/>
      <c r="X39" s="49" t="inlineStr"/>
      <c r="Y39" s="49" t="inlineStr"/>
      <c r="Z39" s="47">
        <f>IF(((--ISNUMBER(D39))*$D$4+(--ISNUMBER(E39))*$E$4)=0,"",(IFERROR(D39*$D$4,0)+IFERROR(E39*$E$4,0))/((--ISNUMBER(D39))*$D$4+(--ISNUMBER(E39))*$E$4))</f>
        <v/>
      </c>
      <c r="AA39" s="50">
        <f>IF(Z39="","",ROUND(Z39,0))</f>
        <v/>
      </c>
      <c r="AB39" s="22">
        <f>IF(AA39="","",INDEX(Notentabelle!$B$4:$B$19,AA39+1))</f>
        <v/>
      </c>
    </row>
    <row r="40">
      <c r="A40" s="37" t="n">
        <v>34</v>
      </c>
      <c r="B40" s="31">
        <f>IF(INDEX(Klassenliste!$B$6:$B$40,34)=0,"",INDEX(Klassenliste!$B$6:$B$40,34))</f>
        <v/>
      </c>
      <c r="C40" s="31">
        <f>IF(INDEX(Klassenliste!$C$6:$C$40,34)=0,"",INDEX(Klassenliste!$C$6:$C$40,34))</f>
        <v/>
      </c>
      <c r="D40" s="47">
        <f>IF(((--ISNUMBER(F40))*$F$4+(--ISNUMBER(I40))*$I$4)=0,"",(IFERROR(F40*$F$4,0)+IFERROR(I40*$I$4,0))/((--ISNUMBER(F40))*$F$4+(--ISNUMBER(I40))*$I$4))</f>
        <v/>
      </c>
      <c r="E40" s="48">
        <f>IF(((--ISNUMBER(P40))*$P$4+(--ISNUMBER(S40))*$S$4)=0,"",(IFERROR(P40*$P$4,0)+IFERROR(S40*$S$4,0))/((--ISNUMBER(P40))*$P$4+(--ISNUMBER(S40))*$S$4))</f>
        <v/>
      </c>
      <c r="F40" s="47">
        <f>IF(SUMPRODUCT(--ISNUMBER(G40:H40),$G$4:$H$4)=0,"",SUMPRODUCT(G40:H40,$G$4:$H$4)/SUMPRODUCT(--ISNUMBER(G40:H40),$G$4:$H$4))</f>
        <v/>
      </c>
      <c r="G40" s="19">
        <f>IF(G$5="","",CHOOSE(G$5,KA1!$R41,KA2!$R41,KA3!$R41,KA4!$R41,KA5!$R41,KA6!$R41))</f>
        <v/>
      </c>
      <c r="H40" s="19">
        <f>IF(H$5="","",CHOOSE(H$5,KA1!$R41,KA2!$R41,KA3!$R41,KA4!$R41,KA5!$R41,KA6!$R41))</f>
        <v/>
      </c>
      <c r="I40" s="48">
        <f>IF(SUMPRODUCT(--ISNUMBER(J40:O40),$J$4:$O$4)=0,"",SUMPRODUCT(J40:O40,$J$4:$O$4)/SUMPRODUCT(--ISNUMBER(J40:O40),$J$4:$O$4))</f>
        <v/>
      </c>
      <c r="J40" s="49" t="inlineStr"/>
      <c r="K40" s="49" t="inlineStr"/>
      <c r="L40" s="49" t="inlineStr"/>
      <c r="M40" s="49" t="inlineStr"/>
      <c r="N40" s="49" t="inlineStr"/>
      <c r="O40" s="49" t="inlineStr"/>
      <c r="P40" s="47">
        <f>IF(SUMPRODUCT(--ISNUMBER(Q40:R40),$Q$4:$R$4)=0,"",SUMPRODUCT(Q40:R40,$Q$4:$R$4)/SUMPRODUCT(--ISNUMBER(Q40:R40),$Q$4:$R$4))</f>
        <v/>
      </c>
      <c r="Q40" s="19">
        <f>IF(Q$5="","",CHOOSE(Q$5,KA1!$R41,KA2!$R41,KA3!$R41,KA4!$R41,KA5!$R41,KA6!$R41))</f>
        <v/>
      </c>
      <c r="R40" s="19">
        <f>IF(R$5="","",CHOOSE(R$5,KA1!$R41,KA2!$R41,KA3!$R41,KA4!$R41,KA5!$R41,KA6!$R41))</f>
        <v/>
      </c>
      <c r="S40" s="48">
        <f>IF(SUMPRODUCT(--ISNUMBER(T40:Y40),$T$4:$Y$4)=0,"",SUMPRODUCT(T40:Y40,$T$4:$Y$4)/SUMPRODUCT(--ISNUMBER(T40:Y40),$T$4:$Y$4))</f>
        <v/>
      </c>
      <c r="T40" s="49" t="inlineStr"/>
      <c r="U40" s="49" t="inlineStr"/>
      <c r="V40" s="49" t="inlineStr"/>
      <c r="W40" s="49" t="inlineStr"/>
      <c r="X40" s="49" t="inlineStr"/>
      <c r="Y40" s="49" t="inlineStr"/>
      <c r="Z40" s="47">
        <f>IF(((--ISNUMBER(D40))*$D$4+(--ISNUMBER(E40))*$E$4)=0,"",(IFERROR(D40*$D$4,0)+IFERROR(E40*$E$4,0))/((--ISNUMBER(D40))*$D$4+(--ISNUMBER(E40))*$E$4))</f>
        <v/>
      </c>
      <c r="AA40" s="50">
        <f>IF(Z40="","",ROUND(Z40,0))</f>
        <v/>
      </c>
      <c r="AB40" s="22">
        <f>IF(AA40="","",INDEX(Notentabelle!$B$4:$B$19,AA40+1))</f>
        <v/>
      </c>
    </row>
    <row r="41">
      <c r="A41" s="37" t="n">
        <v>35</v>
      </c>
      <c r="B41" s="31">
        <f>IF(INDEX(Klassenliste!$B$6:$B$40,35)=0,"",INDEX(Klassenliste!$B$6:$B$40,35))</f>
        <v/>
      </c>
      <c r="C41" s="31">
        <f>IF(INDEX(Klassenliste!$C$6:$C$40,35)=0,"",INDEX(Klassenliste!$C$6:$C$40,35))</f>
        <v/>
      </c>
      <c r="D41" s="47">
        <f>IF(((--ISNUMBER(F41))*$F$4+(--ISNUMBER(I41))*$I$4)=0,"",(IFERROR(F41*$F$4,0)+IFERROR(I41*$I$4,0))/((--ISNUMBER(F41))*$F$4+(--ISNUMBER(I41))*$I$4))</f>
        <v/>
      </c>
      <c r="E41" s="48">
        <f>IF(((--ISNUMBER(P41))*$P$4+(--ISNUMBER(S41))*$S$4)=0,"",(IFERROR(P41*$P$4,0)+IFERROR(S41*$S$4,0))/((--ISNUMBER(P41))*$P$4+(--ISNUMBER(S41))*$S$4))</f>
        <v/>
      </c>
      <c r="F41" s="47">
        <f>IF(SUMPRODUCT(--ISNUMBER(G41:H41),$G$4:$H$4)=0,"",SUMPRODUCT(G41:H41,$G$4:$H$4)/SUMPRODUCT(--ISNUMBER(G41:H41),$G$4:$H$4))</f>
        <v/>
      </c>
      <c r="G41" s="19">
        <f>IF(G$5="","",CHOOSE(G$5,KA1!$R42,KA2!$R42,KA3!$R42,KA4!$R42,KA5!$R42,KA6!$R42))</f>
        <v/>
      </c>
      <c r="H41" s="19">
        <f>IF(H$5="","",CHOOSE(H$5,KA1!$R42,KA2!$R42,KA3!$R42,KA4!$R42,KA5!$R42,KA6!$R42))</f>
        <v/>
      </c>
      <c r="I41" s="48">
        <f>IF(SUMPRODUCT(--ISNUMBER(J41:O41),$J$4:$O$4)=0,"",SUMPRODUCT(J41:O41,$J$4:$O$4)/SUMPRODUCT(--ISNUMBER(J41:O41),$J$4:$O$4))</f>
        <v/>
      </c>
      <c r="J41" s="49" t="inlineStr"/>
      <c r="K41" s="49" t="inlineStr"/>
      <c r="L41" s="49" t="inlineStr"/>
      <c r="M41" s="49" t="inlineStr"/>
      <c r="N41" s="49" t="inlineStr"/>
      <c r="O41" s="49" t="inlineStr"/>
      <c r="P41" s="47">
        <f>IF(SUMPRODUCT(--ISNUMBER(Q41:R41),$Q$4:$R$4)=0,"",SUMPRODUCT(Q41:R41,$Q$4:$R$4)/SUMPRODUCT(--ISNUMBER(Q41:R41),$Q$4:$R$4))</f>
        <v/>
      </c>
      <c r="Q41" s="19">
        <f>IF(Q$5="","",CHOOSE(Q$5,KA1!$R42,KA2!$R42,KA3!$R42,KA4!$R42,KA5!$R42,KA6!$R42))</f>
        <v/>
      </c>
      <c r="R41" s="19">
        <f>IF(R$5="","",CHOOSE(R$5,KA1!$R42,KA2!$R42,KA3!$R42,KA4!$R42,KA5!$R42,KA6!$R42))</f>
        <v/>
      </c>
      <c r="S41" s="48">
        <f>IF(SUMPRODUCT(--ISNUMBER(T41:Y41),$T$4:$Y$4)=0,"",SUMPRODUCT(T41:Y41,$T$4:$Y$4)/SUMPRODUCT(--ISNUMBER(T41:Y41),$T$4:$Y$4))</f>
        <v/>
      </c>
      <c r="T41" s="49" t="inlineStr"/>
      <c r="U41" s="49" t="inlineStr"/>
      <c r="V41" s="49" t="inlineStr"/>
      <c r="W41" s="49" t="inlineStr"/>
      <c r="X41" s="49" t="inlineStr"/>
      <c r="Y41" s="49" t="inlineStr"/>
      <c r="Z41" s="47">
        <f>IF(((--ISNUMBER(D41))*$D$4+(--ISNUMBER(E41))*$E$4)=0,"",(IFERROR(D41*$D$4,0)+IFERROR(E41*$E$4,0))/((--ISNUMBER(D41))*$D$4+(--ISNUMBER(E41))*$E$4))</f>
        <v/>
      </c>
      <c r="AA41" s="50">
        <f>IF(Z41="","",ROUND(Z41,0))</f>
        <v/>
      </c>
      <c r="AB41" s="22">
        <f>IF(AA41="","",INDEX(Notentabelle!$B$4:$B$19,AA41+1))</f>
        <v/>
      </c>
    </row>
  </sheetData>
  <sheetProtection selectLockedCells="0" selectUnlockedCells="0" sheet="1" objects="0" insertRows="1" insertHyperlinks="1" autoFilter="1" scenarios="0" formatColumns="0" deleteColumns="1" insertColumns="0" pivotTables="1" deleteRows="1" formatCells="1" formatRows="0" sort="1"/>
  <mergeCells count="5">
    <mergeCell ref="D3:E3"/>
    <mergeCell ref="F3:O3"/>
    <mergeCell ref="P3:Y3"/>
    <mergeCell ref="Z3:AB3"/>
    <mergeCell ref="A1:AA1"/>
  </mergeCells>
  <conditionalFormatting sqref="A7:AB41">
    <cfRule type="expression" priority="1" dxfId="1" stopIfTrue="1">
      <formula>$B7=""</formula>
    </cfRule>
  </conditionalFormatting>
  <conditionalFormatting sqref="AA7:AA41">
    <cfRule type="expression" priority="2" dxfId="2">
      <formula>AND(ISNUMBER(AA7),AA7&lt;5)</formula>
    </cfRule>
  </conditionalFormatting>
  <conditionalFormatting sqref="J7:O41">
    <cfRule type="expression" priority="3" dxfId="5">
      <formula>AND(J7&lt;&gt;"",J$4="")</formula>
    </cfRule>
  </conditionalFormatting>
  <conditionalFormatting sqref="T7:Y41">
    <cfRule type="expression" priority="4" dxfId="5">
      <formula>AND(T7&lt;&gt;"",T$4="")</formula>
    </cfRule>
  </conditionalFormatting>
  <dataValidations count="4">
    <dataValidation sqref="G5" showDropDown="0" showInputMessage="0" showErrorMessage="0" allowBlank="1" type="list">
      <formula1>"1,2,3,4,5,6"</formula1>
    </dataValidation>
    <dataValidation sqref="H5" showDropDown="0" showInputMessage="0" showErrorMessage="0" allowBlank="1" type="list">
      <formula1>"1,2,3,4,5,6"</formula1>
    </dataValidation>
    <dataValidation sqref="Q5" showDropDown="0" showInputMessage="0" showErrorMessage="0" allowBlank="1" type="list">
      <formula1>"1,2,3,4,5,6"</formula1>
    </dataValidation>
    <dataValidation sqref="R5" showDropDown="0" showInputMessage="0" showErrorMessage="0" allowBlank="1" type="list">
      <formula1>"1,2,3,4,5,6"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tabColor rgb="006E8FA0"/>
    <outlinePr summaryBelow="1" summaryRight="1"/>
    <pageSetUpPr fitToPage="1"/>
  </sheetPr>
  <dimension ref="A1:AI40"/>
  <sheetViews>
    <sheetView showGridLines="0" zoomScale="10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5" customWidth="1" min="4" max="4"/>
    <col width="5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6.2" customWidth="1" min="32" max="32"/>
    <col width="6.2" customWidth="1" min="33" max="33"/>
    <col width="6.2" customWidth="1" min="34" max="34"/>
    <col width="6.2" customWidth="1" min="35" max="35"/>
  </cols>
  <sheetData>
    <row r="1" ht="26" customHeight="1">
      <c r="A1" s="1" t="inlineStr">
        <is>
          <t>Anwesenheit 2. Halbjahr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8">
        <f>HYPERLINK("#Start!A1","⌂")</f>
        <v/>
      </c>
    </row>
    <row r="2" ht="14" customHeight="1">
      <c r="B2" s="12" t="inlineStr">
        <is>
          <t>e = entschuldigt · u = unentschuldigt · leer = anwesend  (eine Spalte je Termin/Stunde)</t>
        </is>
      </c>
    </row>
    <row r="4" ht="15" customHeight="1">
      <c r="E4" s="32" t="inlineStr">
        <is>
          <t>Datum →</t>
        </is>
      </c>
      <c r="F4" s="33" t="inlineStr"/>
      <c r="G4" s="33" t="inlineStr"/>
      <c r="H4" s="33" t="inlineStr"/>
      <c r="I4" s="33" t="inlineStr"/>
      <c r="J4" s="34" t="inlineStr"/>
      <c r="K4" s="33" t="inlineStr"/>
      <c r="L4" s="33" t="inlineStr"/>
      <c r="M4" s="33" t="inlineStr"/>
      <c r="N4" s="33" t="inlineStr"/>
      <c r="O4" s="34" t="inlineStr"/>
      <c r="P4" s="33" t="inlineStr"/>
      <c r="Q4" s="33" t="inlineStr"/>
      <c r="R4" s="33" t="inlineStr"/>
      <c r="S4" s="33" t="inlineStr"/>
      <c r="T4" s="34" t="inlineStr"/>
      <c r="U4" s="33" t="inlineStr"/>
      <c r="V4" s="33" t="inlineStr"/>
      <c r="W4" s="33" t="inlineStr"/>
      <c r="X4" s="33" t="inlineStr"/>
      <c r="Y4" s="34" t="inlineStr"/>
      <c r="Z4" s="33" t="inlineStr"/>
      <c r="AA4" s="33" t="inlineStr"/>
      <c r="AB4" s="33" t="inlineStr"/>
      <c r="AC4" s="33" t="inlineStr"/>
      <c r="AD4" s="34" t="inlineStr"/>
      <c r="AE4" s="33" t="inlineStr"/>
      <c r="AF4" s="33" t="inlineStr"/>
      <c r="AG4" s="33" t="inlineStr"/>
      <c r="AH4" s="33" t="inlineStr"/>
      <c r="AI4" s="34" t="inlineStr"/>
    </row>
    <row r="5" ht="18" customHeight="1">
      <c r="A5" s="17" t="inlineStr">
        <is>
          <t>Nr</t>
        </is>
      </c>
      <c r="B5" s="18" t="inlineStr">
        <is>
          <t>Name</t>
        </is>
      </c>
      <c r="C5" s="18" t="inlineStr">
        <is>
          <t>Vorname</t>
        </is>
      </c>
      <c r="D5" s="17" t="inlineStr">
        <is>
          <t>FS</t>
        </is>
      </c>
      <c r="E5" s="35" t="inlineStr">
        <is>
          <t>uE</t>
        </is>
      </c>
      <c r="J5" s="36" t="n"/>
      <c r="O5" s="36" t="n"/>
      <c r="T5" s="36" t="n"/>
      <c r="Y5" s="36" t="n"/>
      <c r="AD5" s="36" t="n"/>
      <c r="AI5" s="36" t="n"/>
    </row>
    <row r="6">
      <c r="A6" s="37" t="n">
        <v>1</v>
      </c>
      <c r="B6" s="31">
        <f>IF(INDEX(Klassenliste!$B$6:$B$40,1)=0,"",INDEX(Klassenliste!$B$6:$B$40,1))</f>
        <v/>
      </c>
      <c r="C6" s="31">
        <f>IF(INDEX(Klassenliste!$C$6:$C$40,1)=0,"",INDEX(Klassenliste!$C$6:$C$40,1))</f>
        <v/>
      </c>
      <c r="D6" s="19">
        <f>IF($B6="","",COUNTIF(F6:AI6,"e")+COUNTIF(F6:AI6,"u"))</f>
        <v/>
      </c>
      <c r="E6" s="38">
        <f>IF($B6="","",COUNTIF(F6:AI6,"u"))</f>
        <v/>
      </c>
      <c r="F6" s="39" t="inlineStr"/>
      <c r="G6" s="39" t="inlineStr"/>
      <c r="H6" s="39" t="inlineStr"/>
      <c r="I6" s="39" t="inlineStr"/>
      <c r="J6" s="40" t="inlineStr"/>
      <c r="K6" s="39" t="inlineStr"/>
      <c r="L6" s="39" t="inlineStr"/>
      <c r="M6" s="39" t="inlineStr"/>
      <c r="N6" s="39" t="inlineStr"/>
      <c r="O6" s="40" t="inlineStr"/>
      <c r="P6" s="39" t="inlineStr"/>
      <c r="Q6" s="39" t="inlineStr"/>
      <c r="R6" s="39" t="inlineStr"/>
      <c r="S6" s="39" t="inlineStr"/>
      <c r="T6" s="40" t="inlineStr"/>
      <c r="U6" s="39" t="inlineStr"/>
      <c r="V6" s="39" t="inlineStr"/>
      <c r="W6" s="39" t="inlineStr"/>
      <c r="X6" s="39" t="inlineStr"/>
      <c r="Y6" s="40" t="inlineStr"/>
      <c r="Z6" s="39" t="inlineStr"/>
      <c r="AA6" s="39" t="inlineStr"/>
      <c r="AB6" s="39" t="inlineStr"/>
      <c r="AC6" s="39" t="inlineStr"/>
      <c r="AD6" s="40" t="inlineStr"/>
      <c r="AE6" s="39" t="inlineStr"/>
      <c r="AF6" s="39" t="inlineStr"/>
      <c r="AG6" s="39" t="inlineStr"/>
      <c r="AH6" s="39" t="inlineStr"/>
      <c r="AI6" s="40" t="inlineStr"/>
    </row>
    <row r="7">
      <c r="A7" s="37" t="n">
        <v>2</v>
      </c>
      <c r="B7" s="31">
        <f>IF(INDEX(Klassenliste!$B$6:$B$40,2)=0,"",INDEX(Klassenliste!$B$6:$B$40,2))</f>
        <v/>
      </c>
      <c r="C7" s="31">
        <f>IF(INDEX(Klassenliste!$C$6:$C$40,2)=0,"",INDEX(Klassenliste!$C$6:$C$40,2))</f>
        <v/>
      </c>
      <c r="D7" s="19">
        <f>IF($B7="","",COUNTIF(F7:AI7,"e")+COUNTIF(F7:AI7,"u"))</f>
        <v/>
      </c>
      <c r="E7" s="38">
        <f>IF($B7="","",COUNTIF(F7:AI7,"u"))</f>
        <v/>
      </c>
      <c r="F7" s="39" t="inlineStr"/>
      <c r="G7" s="39" t="inlineStr"/>
      <c r="H7" s="39" t="inlineStr"/>
      <c r="I7" s="39" t="inlineStr"/>
      <c r="J7" s="40" t="inlineStr"/>
      <c r="K7" s="39" t="inlineStr"/>
      <c r="L7" s="39" t="inlineStr"/>
      <c r="M7" s="39" t="inlineStr"/>
      <c r="N7" s="39" t="inlineStr"/>
      <c r="O7" s="40" t="inlineStr"/>
      <c r="P7" s="39" t="inlineStr"/>
      <c r="Q7" s="39" t="inlineStr"/>
      <c r="R7" s="39" t="inlineStr"/>
      <c r="S7" s="39" t="inlineStr"/>
      <c r="T7" s="40" t="inlineStr"/>
      <c r="U7" s="39" t="inlineStr"/>
      <c r="V7" s="39" t="inlineStr"/>
      <c r="W7" s="39" t="inlineStr"/>
      <c r="X7" s="39" t="inlineStr"/>
      <c r="Y7" s="40" t="inlineStr"/>
      <c r="Z7" s="39" t="inlineStr"/>
      <c r="AA7" s="39" t="inlineStr"/>
      <c r="AB7" s="39" t="inlineStr"/>
      <c r="AC7" s="39" t="inlineStr"/>
      <c r="AD7" s="40" t="inlineStr"/>
      <c r="AE7" s="39" t="inlineStr"/>
      <c r="AF7" s="39" t="inlineStr"/>
      <c r="AG7" s="39" t="inlineStr"/>
      <c r="AH7" s="39" t="inlineStr"/>
      <c r="AI7" s="40" t="inlineStr"/>
    </row>
    <row r="8">
      <c r="A8" s="37" t="n">
        <v>3</v>
      </c>
      <c r="B8" s="31">
        <f>IF(INDEX(Klassenliste!$B$6:$B$40,3)=0,"",INDEX(Klassenliste!$B$6:$B$40,3))</f>
        <v/>
      </c>
      <c r="C8" s="31">
        <f>IF(INDEX(Klassenliste!$C$6:$C$40,3)=0,"",INDEX(Klassenliste!$C$6:$C$40,3))</f>
        <v/>
      </c>
      <c r="D8" s="19">
        <f>IF($B8="","",COUNTIF(F8:AI8,"e")+COUNTIF(F8:AI8,"u"))</f>
        <v/>
      </c>
      <c r="E8" s="38">
        <f>IF($B8="","",COUNTIF(F8:AI8,"u"))</f>
        <v/>
      </c>
      <c r="F8" s="39" t="inlineStr"/>
      <c r="G8" s="39" t="inlineStr"/>
      <c r="H8" s="39" t="inlineStr"/>
      <c r="I8" s="39" t="inlineStr"/>
      <c r="J8" s="40" t="inlineStr"/>
      <c r="K8" s="39" t="inlineStr"/>
      <c r="L8" s="39" t="inlineStr"/>
      <c r="M8" s="39" t="inlineStr"/>
      <c r="N8" s="39" t="inlineStr"/>
      <c r="O8" s="40" t="inlineStr"/>
      <c r="P8" s="39" t="inlineStr"/>
      <c r="Q8" s="39" t="inlineStr"/>
      <c r="R8" s="39" t="inlineStr"/>
      <c r="S8" s="39" t="inlineStr"/>
      <c r="T8" s="40" t="inlineStr"/>
      <c r="U8" s="39" t="inlineStr"/>
      <c r="V8" s="39" t="inlineStr"/>
      <c r="W8" s="39" t="inlineStr"/>
      <c r="X8" s="39" t="inlineStr"/>
      <c r="Y8" s="40" t="inlineStr"/>
      <c r="Z8" s="39" t="inlineStr"/>
      <c r="AA8" s="39" t="inlineStr"/>
      <c r="AB8" s="39" t="inlineStr"/>
      <c r="AC8" s="39" t="inlineStr"/>
      <c r="AD8" s="40" t="inlineStr"/>
      <c r="AE8" s="39" t="inlineStr"/>
      <c r="AF8" s="39" t="inlineStr"/>
      <c r="AG8" s="39" t="inlineStr"/>
      <c r="AH8" s="39" t="inlineStr"/>
      <c r="AI8" s="40" t="inlineStr"/>
    </row>
    <row r="9">
      <c r="A9" s="37" t="n">
        <v>4</v>
      </c>
      <c r="B9" s="31">
        <f>IF(INDEX(Klassenliste!$B$6:$B$40,4)=0,"",INDEX(Klassenliste!$B$6:$B$40,4))</f>
        <v/>
      </c>
      <c r="C9" s="31">
        <f>IF(INDEX(Klassenliste!$C$6:$C$40,4)=0,"",INDEX(Klassenliste!$C$6:$C$40,4))</f>
        <v/>
      </c>
      <c r="D9" s="19">
        <f>IF($B9="","",COUNTIF(F9:AI9,"e")+COUNTIF(F9:AI9,"u"))</f>
        <v/>
      </c>
      <c r="E9" s="38">
        <f>IF($B9="","",COUNTIF(F9:AI9,"u"))</f>
        <v/>
      </c>
      <c r="F9" s="39" t="inlineStr"/>
      <c r="G9" s="39" t="inlineStr"/>
      <c r="H9" s="39" t="inlineStr"/>
      <c r="I9" s="39" t="inlineStr"/>
      <c r="J9" s="40" t="inlineStr"/>
      <c r="K9" s="39" t="inlineStr"/>
      <c r="L9" s="39" t="inlineStr"/>
      <c r="M9" s="39" t="inlineStr"/>
      <c r="N9" s="39" t="inlineStr"/>
      <c r="O9" s="40" t="inlineStr"/>
      <c r="P9" s="39" t="inlineStr"/>
      <c r="Q9" s="39" t="inlineStr"/>
      <c r="R9" s="39" t="inlineStr"/>
      <c r="S9" s="39" t="inlineStr"/>
      <c r="T9" s="40" t="inlineStr"/>
      <c r="U9" s="39" t="inlineStr"/>
      <c r="V9" s="39" t="inlineStr"/>
      <c r="W9" s="39" t="inlineStr"/>
      <c r="X9" s="39" t="inlineStr"/>
      <c r="Y9" s="40" t="inlineStr"/>
      <c r="Z9" s="39" t="inlineStr"/>
      <c r="AA9" s="39" t="inlineStr"/>
      <c r="AB9" s="39" t="inlineStr"/>
      <c r="AC9" s="39" t="inlineStr"/>
      <c r="AD9" s="40" t="inlineStr"/>
      <c r="AE9" s="39" t="inlineStr"/>
      <c r="AF9" s="39" t="inlineStr"/>
      <c r="AG9" s="39" t="inlineStr"/>
      <c r="AH9" s="39" t="inlineStr"/>
      <c r="AI9" s="40" t="inlineStr"/>
    </row>
    <row r="10">
      <c r="A10" s="37" t="n">
        <v>5</v>
      </c>
      <c r="B10" s="31">
        <f>IF(INDEX(Klassenliste!$B$6:$B$40,5)=0,"",INDEX(Klassenliste!$B$6:$B$40,5))</f>
        <v/>
      </c>
      <c r="C10" s="31">
        <f>IF(INDEX(Klassenliste!$C$6:$C$40,5)=0,"",INDEX(Klassenliste!$C$6:$C$40,5))</f>
        <v/>
      </c>
      <c r="D10" s="19">
        <f>IF($B10="","",COUNTIF(F10:AI10,"e")+COUNTIF(F10:AI10,"u"))</f>
        <v/>
      </c>
      <c r="E10" s="38">
        <f>IF($B10="","",COUNTIF(F10:AI10,"u"))</f>
        <v/>
      </c>
      <c r="F10" s="39" t="inlineStr"/>
      <c r="G10" s="39" t="inlineStr"/>
      <c r="H10" s="39" t="inlineStr"/>
      <c r="I10" s="39" t="inlineStr"/>
      <c r="J10" s="40" t="inlineStr"/>
      <c r="K10" s="39" t="inlineStr"/>
      <c r="L10" s="39" t="inlineStr"/>
      <c r="M10" s="39" t="inlineStr"/>
      <c r="N10" s="39" t="inlineStr"/>
      <c r="O10" s="40" t="inlineStr"/>
      <c r="P10" s="39" t="inlineStr"/>
      <c r="Q10" s="39" t="inlineStr"/>
      <c r="R10" s="39" t="inlineStr"/>
      <c r="S10" s="39" t="inlineStr"/>
      <c r="T10" s="40" t="inlineStr"/>
      <c r="U10" s="39" t="inlineStr"/>
      <c r="V10" s="39" t="inlineStr"/>
      <c r="W10" s="39" t="inlineStr"/>
      <c r="X10" s="39" t="inlineStr"/>
      <c r="Y10" s="40" t="inlineStr"/>
      <c r="Z10" s="39" t="inlineStr"/>
      <c r="AA10" s="39" t="inlineStr"/>
      <c r="AB10" s="39" t="inlineStr"/>
      <c r="AC10" s="39" t="inlineStr"/>
      <c r="AD10" s="40" t="inlineStr"/>
      <c r="AE10" s="39" t="inlineStr"/>
      <c r="AF10" s="39" t="inlineStr"/>
      <c r="AG10" s="39" t="inlineStr"/>
      <c r="AH10" s="39" t="inlineStr"/>
      <c r="AI10" s="40" t="inlineStr"/>
    </row>
    <row r="11">
      <c r="A11" s="37" t="n">
        <v>6</v>
      </c>
      <c r="B11" s="31">
        <f>IF(INDEX(Klassenliste!$B$6:$B$40,6)=0,"",INDEX(Klassenliste!$B$6:$B$40,6))</f>
        <v/>
      </c>
      <c r="C11" s="31">
        <f>IF(INDEX(Klassenliste!$C$6:$C$40,6)=0,"",INDEX(Klassenliste!$C$6:$C$40,6))</f>
        <v/>
      </c>
      <c r="D11" s="19">
        <f>IF($B11="","",COUNTIF(F11:AI11,"e")+COUNTIF(F11:AI11,"u"))</f>
        <v/>
      </c>
      <c r="E11" s="38">
        <f>IF($B11="","",COUNTIF(F11:AI11,"u"))</f>
        <v/>
      </c>
      <c r="F11" s="39" t="inlineStr"/>
      <c r="G11" s="39" t="inlineStr"/>
      <c r="H11" s="39" t="inlineStr"/>
      <c r="I11" s="39" t="inlineStr"/>
      <c r="J11" s="40" t="inlineStr"/>
      <c r="K11" s="39" t="inlineStr"/>
      <c r="L11" s="39" t="inlineStr"/>
      <c r="M11" s="39" t="inlineStr"/>
      <c r="N11" s="39" t="inlineStr"/>
      <c r="O11" s="40" t="inlineStr"/>
      <c r="P11" s="39" t="inlineStr"/>
      <c r="Q11" s="39" t="inlineStr"/>
      <c r="R11" s="39" t="inlineStr"/>
      <c r="S11" s="39" t="inlineStr"/>
      <c r="T11" s="40" t="inlineStr"/>
      <c r="U11" s="39" t="inlineStr"/>
      <c r="V11" s="39" t="inlineStr"/>
      <c r="W11" s="39" t="inlineStr"/>
      <c r="X11" s="39" t="inlineStr"/>
      <c r="Y11" s="40" t="inlineStr"/>
      <c r="Z11" s="39" t="inlineStr"/>
      <c r="AA11" s="39" t="inlineStr"/>
      <c r="AB11" s="39" t="inlineStr"/>
      <c r="AC11" s="39" t="inlineStr"/>
      <c r="AD11" s="40" t="inlineStr"/>
      <c r="AE11" s="39" t="inlineStr"/>
      <c r="AF11" s="39" t="inlineStr"/>
      <c r="AG11" s="39" t="inlineStr"/>
      <c r="AH11" s="39" t="inlineStr"/>
      <c r="AI11" s="40" t="inlineStr"/>
    </row>
    <row r="12">
      <c r="A12" s="37" t="n">
        <v>7</v>
      </c>
      <c r="B12" s="31">
        <f>IF(INDEX(Klassenliste!$B$6:$B$40,7)=0,"",INDEX(Klassenliste!$B$6:$B$40,7))</f>
        <v/>
      </c>
      <c r="C12" s="31">
        <f>IF(INDEX(Klassenliste!$C$6:$C$40,7)=0,"",INDEX(Klassenliste!$C$6:$C$40,7))</f>
        <v/>
      </c>
      <c r="D12" s="19">
        <f>IF($B12="","",COUNTIF(F12:AI12,"e")+COUNTIF(F12:AI12,"u"))</f>
        <v/>
      </c>
      <c r="E12" s="38">
        <f>IF($B12="","",COUNTIF(F12:AI12,"u"))</f>
        <v/>
      </c>
      <c r="F12" s="39" t="inlineStr"/>
      <c r="G12" s="39" t="inlineStr"/>
      <c r="H12" s="39" t="inlineStr"/>
      <c r="I12" s="39" t="inlineStr"/>
      <c r="J12" s="40" t="inlineStr"/>
      <c r="K12" s="39" t="inlineStr"/>
      <c r="L12" s="39" t="inlineStr"/>
      <c r="M12" s="39" t="inlineStr"/>
      <c r="N12" s="39" t="inlineStr"/>
      <c r="O12" s="40" t="inlineStr"/>
      <c r="P12" s="39" t="inlineStr"/>
      <c r="Q12" s="39" t="inlineStr"/>
      <c r="R12" s="39" t="inlineStr"/>
      <c r="S12" s="39" t="inlineStr"/>
      <c r="T12" s="40" t="inlineStr"/>
      <c r="U12" s="39" t="inlineStr"/>
      <c r="V12" s="39" t="inlineStr"/>
      <c r="W12" s="39" t="inlineStr"/>
      <c r="X12" s="39" t="inlineStr"/>
      <c r="Y12" s="40" t="inlineStr"/>
      <c r="Z12" s="39" t="inlineStr"/>
      <c r="AA12" s="39" t="inlineStr"/>
      <c r="AB12" s="39" t="inlineStr"/>
      <c r="AC12" s="39" t="inlineStr"/>
      <c r="AD12" s="40" t="inlineStr"/>
      <c r="AE12" s="39" t="inlineStr"/>
      <c r="AF12" s="39" t="inlineStr"/>
      <c r="AG12" s="39" t="inlineStr"/>
      <c r="AH12" s="39" t="inlineStr"/>
      <c r="AI12" s="40" t="inlineStr"/>
    </row>
    <row r="13">
      <c r="A13" s="37" t="n">
        <v>8</v>
      </c>
      <c r="B13" s="31">
        <f>IF(INDEX(Klassenliste!$B$6:$B$40,8)=0,"",INDEX(Klassenliste!$B$6:$B$40,8))</f>
        <v/>
      </c>
      <c r="C13" s="31">
        <f>IF(INDEX(Klassenliste!$C$6:$C$40,8)=0,"",INDEX(Klassenliste!$C$6:$C$40,8))</f>
        <v/>
      </c>
      <c r="D13" s="19">
        <f>IF($B13="","",COUNTIF(F13:AI13,"e")+COUNTIF(F13:AI13,"u"))</f>
        <v/>
      </c>
      <c r="E13" s="38">
        <f>IF($B13="","",COUNTIF(F13:AI13,"u"))</f>
        <v/>
      </c>
      <c r="F13" s="39" t="inlineStr"/>
      <c r="G13" s="39" t="inlineStr"/>
      <c r="H13" s="39" t="inlineStr"/>
      <c r="I13" s="39" t="inlineStr"/>
      <c r="J13" s="40" t="inlineStr"/>
      <c r="K13" s="39" t="inlineStr"/>
      <c r="L13" s="39" t="inlineStr"/>
      <c r="M13" s="39" t="inlineStr"/>
      <c r="N13" s="39" t="inlineStr"/>
      <c r="O13" s="40" t="inlineStr"/>
      <c r="P13" s="39" t="inlineStr"/>
      <c r="Q13" s="39" t="inlineStr"/>
      <c r="R13" s="39" t="inlineStr"/>
      <c r="S13" s="39" t="inlineStr"/>
      <c r="T13" s="40" t="inlineStr"/>
      <c r="U13" s="39" t="inlineStr"/>
      <c r="V13" s="39" t="inlineStr"/>
      <c r="W13" s="39" t="inlineStr"/>
      <c r="X13" s="39" t="inlineStr"/>
      <c r="Y13" s="40" t="inlineStr"/>
      <c r="Z13" s="39" t="inlineStr"/>
      <c r="AA13" s="39" t="inlineStr"/>
      <c r="AB13" s="39" t="inlineStr"/>
      <c r="AC13" s="39" t="inlineStr"/>
      <c r="AD13" s="40" t="inlineStr"/>
      <c r="AE13" s="39" t="inlineStr"/>
      <c r="AF13" s="39" t="inlineStr"/>
      <c r="AG13" s="39" t="inlineStr"/>
      <c r="AH13" s="39" t="inlineStr"/>
      <c r="AI13" s="40" t="inlineStr"/>
    </row>
    <row r="14">
      <c r="A14" s="37" t="n">
        <v>9</v>
      </c>
      <c r="B14" s="31">
        <f>IF(INDEX(Klassenliste!$B$6:$B$40,9)=0,"",INDEX(Klassenliste!$B$6:$B$40,9))</f>
        <v/>
      </c>
      <c r="C14" s="31">
        <f>IF(INDEX(Klassenliste!$C$6:$C$40,9)=0,"",INDEX(Klassenliste!$C$6:$C$40,9))</f>
        <v/>
      </c>
      <c r="D14" s="19">
        <f>IF($B14="","",COUNTIF(F14:AI14,"e")+COUNTIF(F14:AI14,"u"))</f>
        <v/>
      </c>
      <c r="E14" s="38">
        <f>IF($B14="","",COUNTIF(F14:AI14,"u"))</f>
        <v/>
      </c>
      <c r="F14" s="39" t="inlineStr"/>
      <c r="G14" s="39" t="inlineStr"/>
      <c r="H14" s="39" t="inlineStr"/>
      <c r="I14" s="39" t="inlineStr"/>
      <c r="J14" s="40" t="inlineStr"/>
      <c r="K14" s="39" t="inlineStr"/>
      <c r="L14" s="39" t="inlineStr"/>
      <c r="M14" s="39" t="inlineStr"/>
      <c r="N14" s="39" t="inlineStr"/>
      <c r="O14" s="40" t="inlineStr"/>
      <c r="P14" s="39" t="inlineStr"/>
      <c r="Q14" s="39" t="inlineStr"/>
      <c r="R14" s="39" t="inlineStr"/>
      <c r="S14" s="39" t="inlineStr"/>
      <c r="T14" s="40" t="inlineStr"/>
      <c r="U14" s="39" t="inlineStr"/>
      <c r="V14" s="39" t="inlineStr"/>
      <c r="W14" s="39" t="inlineStr"/>
      <c r="X14" s="39" t="inlineStr"/>
      <c r="Y14" s="40" t="inlineStr"/>
      <c r="Z14" s="39" t="inlineStr"/>
      <c r="AA14" s="39" t="inlineStr"/>
      <c r="AB14" s="39" t="inlineStr"/>
      <c r="AC14" s="39" t="inlineStr"/>
      <c r="AD14" s="40" t="inlineStr"/>
      <c r="AE14" s="39" t="inlineStr"/>
      <c r="AF14" s="39" t="inlineStr"/>
      <c r="AG14" s="39" t="inlineStr"/>
      <c r="AH14" s="39" t="inlineStr"/>
      <c r="AI14" s="40" t="inlineStr"/>
    </row>
    <row r="15">
      <c r="A15" s="37" t="n">
        <v>10</v>
      </c>
      <c r="B15" s="31">
        <f>IF(INDEX(Klassenliste!$B$6:$B$40,10)=0,"",INDEX(Klassenliste!$B$6:$B$40,10))</f>
        <v/>
      </c>
      <c r="C15" s="31">
        <f>IF(INDEX(Klassenliste!$C$6:$C$40,10)=0,"",INDEX(Klassenliste!$C$6:$C$40,10))</f>
        <v/>
      </c>
      <c r="D15" s="19">
        <f>IF($B15="","",COUNTIF(F15:AI15,"e")+COUNTIF(F15:AI15,"u"))</f>
        <v/>
      </c>
      <c r="E15" s="38">
        <f>IF($B15="","",COUNTIF(F15:AI15,"u"))</f>
        <v/>
      </c>
      <c r="F15" s="39" t="inlineStr"/>
      <c r="G15" s="39" t="inlineStr"/>
      <c r="H15" s="39" t="inlineStr"/>
      <c r="I15" s="39" t="inlineStr"/>
      <c r="J15" s="40" t="inlineStr"/>
      <c r="K15" s="39" t="inlineStr"/>
      <c r="L15" s="39" t="inlineStr"/>
      <c r="M15" s="39" t="inlineStr"/>
      <c r="N15" s="39" t="inlineStr"/>
      <c r="O15" s="40" t="inlineStr"/>
      <c r="P15" s="39" t="inlineStr"/>
      <c r="Q15" s="39" t="inlineStr"/>
      <c r="R15" s="39" t="inlineStr"/>
      <c r="S15" s="39" t="inlineStr"/>
      <c r="T15" s="40" t="inlineStr"/>
      <c r="U15" s="39" t="inlineStr"/>
      <c r="V15" s="39" t="inlineStr"/>
      <c r="W15" s="39" t="inlineStr"/>
      <c r="X15" s="39" t="inlineStr"/>
      <c r="Y15" s="40" t="inlineStr"/>
      <c r="Z15" s="39" t="inlineStr"/>
      <c r="AA15" s="39" t="inlineStr"/>
      <c r="AB15" s="39" t="inlineStr"/>
      <c r="AC15" s="39" t="inlineStr"/>
      <c r="AD15" s="40" t="inlineStr"/>
      <c r="AE15" s="39" t="inlineStr"/>
      <c r="AF15" s="39" t="inlineStr"/>
      <c r="AG15" s="39" t="inlineStr"/>
      <c r="AH15" s="39" t="inlineStr"/>
      <c r="AI15" s="40" t="inlineStr"/>
    </row>
    <row r="16">
      <c r="A16" s="37" t="n">
        <v>11</v>
      </c>
      <c r="B16" s="31">
        <f>IF(INDEX(Klassenliste!$B$6:$B$40,11)=0,"",INDEX(Klassenliste!$B$6:$B$40,11))</f>
        <v/>
      </c>
      <c r="C16" s="31">
        <f>IF(INDEX(Klassenliste!$C$6:$C$40,11)=0,"",INDEX(Klassenliste!$C$6:$C$40,11))</f>
        <v/>
      </c>
      <c r="D16" s="19">
        <f>IF($B16="","",COUNTIF(F16:AI16,"e")+COUNTIF(F16:AI16,"u"))</f>
        <v/>
      </c>
      <c r="E16" s="38">
        <f>IF($B16="","",COUNTIF(F16:AI16,"u"))</f>
        <v/>
      </c>
      <c r="F16" s="39" t="inlineStr"/>
      <c r="G16" s="39" t="inlineStr"/>
      <c r="H16" s="39" t="inlineStr"/>
      <c r="I16" s="39" t="inlineStr"/>
      <c r="J16" s="40" t="inlineStr"/>
      <c r="K16" s="39" t="inlineStr"/>
      <c r="L16" s="39" t="inlineStr"/>
      <c r="M16" s="39" t="inlineStr"/>
      <c r="N16" s="39" t="inlineStr"/>
      <c r="O16" s="40" t="inlineStr"/>
      <c r="P16" s="39" t="inlineStr"/>
      <c r="Q16" s="39" t="inlineStr"/>
      <c r="R16" s="39" t="inlineStr"/>
      <c r="S16" s="39" t="inlineStr"/>
      <c r="T16" s="40" t="inlineStr"/>
      <c r="U16" s="39" t="inlineStr"/>
      <c r="V16" s="39" t="inlineStr"/>
      <c r="W16" s="39" t="inlineStr"/>
      <c r="X16" s="39" t="inlineStr"/>
      <c r="Y16" s="40" t="inlineStr"/>
      <c r="Z16" s="39" t="inlineStr"/>
      <c r="AA16" s="39" t="inlineStr"/>
      <c r="AB16" s="39" t="inlineStr"/>
      <c r="AC16" s="39" t="inlineStr"/>
      <c r="AD16" s="40" t="inlineStr"/>
      <c r="AE16" s="39" t="inlineStr"/>
      <c r="AF16" s="39" t="inlineStr"/>
      <c r="AG16" s="39" t="inlineStr"/>
      <c r="AH16" s="39" t="inlineStr"/>
      <c r="AI16" s="40" t="inlineStr"/>
    </row>
    <row r="17">
      <c r="A17" s="37" t="n">
        <v>12</v>
      </c>
      <c r="B17" s="31">
        <f>IF(INDEX(Klassenliste!$B$6:$B$40,12)=0,"",INDEX(Klassenliste!$B$6:$B$40,12))</f>
        <v/>
      </c>
      <c r="C17" s="31">
        <f>IF(INDEX(Klassenliste!$C$6:$C$40,12)=0,"",INDEX(Klassenliste!$C$6:$C$40,12))</f>
        <v/>
      </c>
      <c r="D17" s="19">
        <f>IF($B17="","",COUNTIF(F17:AI17,"e")+COUNTIF(F17:AI17,"u"))</f>
        <v/>
      </c>
      <c r="E17" s="38">
        <f>IF($B17="","",COUNTIF(F17:AI17,"u"))</f>
        <v/>
      </c>
      <c r="F17" s="39" t="inlineStr"/>
      <c r="G17" s="39" t="inlineStr"/>
      <c r="H17" s="39" t="inlineStr"/>
      <c r="I17" s="39" t="inlineStr"/>
      <c r="J17" s="40" t="inlineStr"/>
      <c r="K17" s="39" t="inlineStr"/>
      <c r="L17" s="39" t="inlineStr"/>
      <c r="M17" s="39" t="inlineStr"/>
      <c r="N17" s="39" t="inlineStr"/>
      <c r="O17" s="40" t="inlineStr"/>
      <c r="P17" s="39" t="inlineStr"/>
      <c r="Q17" s="39" t="inlineStr"/>
      <c r="R17" s="39" t="inlineStr"/>
      <c r="S17" s="39" t="inlineStr"/>
      <c r="T17" s="40" t="inlineStr"/>
      <c r="U17" s="39" t="inlineStr"/>
      <c r="V17" s="39" t="inlineStr"/>
      <c r="W17" s="39" t="inlineStr"/>
      <c r="X17" s="39" t="inlineStr"/>
      <c r="Y17" s="40" t="inlineStr"/>
      <c r="Z17" s="39" t="inlineStr"/>
      <c r="AA17" s="39" t="inlineStr"/>
      <c r="AB17" s="39" t="inlineStr"/>
      <c r="AC17" s="39" t="inlineStr"/>
      <c r="AD17" s="40" t="inlineStr"/>
      <c r="AE17" s="39" t="inlineStr"/>
      <c r="AF17" s="39" t="inlineStr"/>
      <c r="AG17" s="39" t="inlineStr"/>
      <c r="AH17" s="39" t="inlineStr"/>
      <c r="AI17" s="40" t="inlineStr"/>
    </row>
    <row r="18">
      <c r="A18" s="37" t="n">
        <v>13</v>
      </c>
      <c r="B18" s="31">
        <f>IF(INDEX(Klassenliste!$B$6:$B$40,13)=0,"",INDEX(Klassenliste!$B$6:$B$40,13))</f>
        <v/>
      </c>
      <c r="C18" s="31">
        <f>IF(INDEX(Klassenliste!$C$6:$C$40,13)=0,"",INDEX(Klassenliste!$C$6:$C$40,13))</f>
        <v/>
      </c>
      <c r="D18" s="19">
        <f>IF($B18="","",COUNTIF(F18:AI18,"e")+COUNTIF(F18:AI18,"u"))</f>
        <v/>
      </c>
      <c r="E18" s="38">
        <f>IF($B18="","",COUNTIF(F18:AI18,"u"))</f>
        <v/>
      </c>
      <c r="F18" s="39" t="inlineStr"/>
      <c r="G18" s="39" t="inlineStr"/>
      <c r="H18" s="39" t="inlineStr"/>
      <c r="I18" s="39" t="inlineStr"/>
      <c r="J18" s="40" t="inlineStr"/>
      <c r="K18" s="39" t="inlineStr"/>
      <c r="L18" s="39" t="inlineStr"/>
      <c r="M18" s="39" t="inlineStr"/>
      <c r="N18" s="39" t="inlineStr"/>
      <c r="O18" s="40" t="inlineStr"/>
      <c r="P18" s="39" t="inlineStr"/>
      <c r="Q18" s="39" t="inlineStr"/>
      <c r="R18" s="39" t="inlineStr"/>
      <c r="S18" s="39" t="inlineStr"/>
      <c r="T18" s="40" t="inlineStr"/>
      <c r="U18" s="39" t="inlineStr"/>
      <c r="V18" s="39" t="inlineStr"/>
      <c r="W18" s="39" t="inlineStr"/>
      <c r="X18" s="39" t="inlineStr"/>
      <c r="Y18" s="40" t="inlineStr"/>
      <c r="Z18" s="39" t="inlineStr"/>
      <c r="AA18" s="39" t="inlineStr"/>
      <c r="AB18" s="39" t="inlineStr"/>
      <c r="AC18" s="39" t="inlineStr"/>
      <c r="AD18" s="40" t="inlineStr"/>
      <c r="AE18" s="39" t="inlineStr"/>
      <c r="AF18" s="39" t="inlineStr"/>
      <c r="AG18" s="39" t="inlineStr"/>
      <c r="AH18" s="39" t="inlineStr"/>
      <c r="AI18" s="40" t="inlineStr"/>
    </row>
    <row r="19">
      <c r="A19" s="37" t="n">
        <v>14</v>
      </c>
      <c r="B19" s="31">
        <f>IF(INDEX(Klassenliste!$B$6:$B$40,14)=0,"",INDEX(Klassenliste!$B$6:$B$40,14))</f>
        <v/>
      </c>
      <c r="C19" s="31">
        <f>IF(INDEX(Klassenliste!$C$6:$C$40,14)=0,"",INDEX(Klassenliste!$C$6:$C$40,14))</f>
        <v/>
      </c>
      <c r="D19" s="19">
        <f>IF($B19="","",COUNTIF(F19:AI19,"e")+COUNTIF(F19:AI19,"u"))</f>
        <v/>
      </c>
      <c r="E19" s="38">
        <f>IF($B19="","",COUNTIF(F19:AI19,"u"))</f>
        <v/>
      </c>
      <c r="F19" s="39" t="inlineStr"/>
      <c r="G19" s="39" t="inlineStr"/>
      <c r="H19" s="39" t="inlineStr"/>
      <c r="I19" s="39" t="inlineStr"/>
      <c r="J19" s="40" t="inlineStr"/>
      <c r="K19" s="39" t="inlineStr"/>
      <c r="L19" s="39" t="inlineStr"/>
      <c r="M19" s="39" t="inlineStr"/>
      <c r="N19" s="39" t="inlineStr"/>
      <c r="O19" s="40" t="inlineStr"/>
      <c r="P19" s="39" t="inlineStr"/>
      <c r="Q19" s="39" t="inlineStr"/>
      <c r="R19" s="39" t="inlineStr"/>
      <c r="S19" s="39" t="inlineStr"/>
      <c r="T19" s="40" t="inlineStr"/>
      <c r="U19" s="39" t="inlineStr"/>
      <c r="V19" s="39" t="inlineStr"/>
      <c r="W19" s="39" t="inlineStr"/>
      <c r="X19" s="39" t="inlineStr"/>
      <c r="Y19" s="40" t="inlineStr"/>
      <c r="Z19" s="39" t="inlineStr"/>
      <c r="AA19" s="39" t="inlineStr"/>
      <c r="AB19" s="39" t="inlineStr"/>
      <c r="AC19" s="39" t="inlineStr"/>
      <c r="AD19" s="40" t="inlineStr"/>
      <c r="AE19" s="39" t="inlineStr"/>
      <c r="AF19" s="39" t="inlineStr"/>
      <c r="AG19" s="39" t="inlineStr"/>
      <c r="AH19" s="39" t="inlineStr"/>
      <c r="AI19" s="40" t="inlineStr"/>
    </row>
    <row r="20">
      <c r="A20" s="37" t="n">
        <v>15</v>
      </c>
      <c r="B20" s="31">
        <f>IF(INDEX(Klassenliste!$B$6:$B$40,15)=0,"",INDEX(Klassenliste!$B$6:$B$40,15))</f>
        <v/>
      </c>
      <c r="C20" s="31">
        <f>IF(INDEX(Klassenliste!$C$6:$C$40,15)=0,"",INDEX(Klassenliste!$C$6:$C$40,15))</f>
        <v/>
      </c>
      <c r="D20" s="19">
        <f>IF($B20="","",COUNTIF(F20:AI20,"e")+COUNTIF(F20:AI20,"u"))</f>
        <v/>
      </c>
      <c r="E20" s="38">
        <f>IF($B20="","",COUNTIF(F20:AI20,"u"))</f>
        <v/>
      </c>
      <c r="F20" s="39" t="inlineStr"/>
      <c r="G20" s="39" t="inlineStr"/>
      <c r="H20" s="39" t="inlineStr"/>
      <c r="I20" s="39" t="inlineStr"/>
      <c r="J20" s="40" t="inlineStr"/>
      <c r="K20" s="39" t="inlineStr"/>
      <c r="L20" s="39" t="inlineStr"/>
      <c r="M20" s="39" t="inlineStr"/>
      <c r="N20" s="39" t="inlineStr"/>
      <c r="O20" s="40" t="inlineStr"/>
      <c r="P20" s="39" t="inlineStr"/>
      <c r="Q20" s="39" t="inlineStr"/>
      <c r="R20" s="39" t="inlineStr"/>
      <c r="S20" s="39" t="inlineStr"/>
      <c r="T20" s="40" t="inlineStr"/>
      <c r="U20" s="39" t="inlineStr"/>
      <c r="V20" s="39" t="inlineStr"/>
      <c r="W20" s="39" t="inlineStr"/>
      <c r="X20" s="39" t="inlineStr"/>
      <c r="Y20" s="40" t="inlineStr"/>
      <c r="Z20" s="39" t="inlineStr"/>
      <c r="AA20" s="39" t="inlineStr"/>
      <c r="AB20" s="39" t="inlineStr"/>
      <c r="AC20" s="39" t="inlineStr"/>
      <c r="AD20" s="40" t="inlineStr"/>
      <c r="AE20" s="39" t="inlineStr"/>
      <c r="AF20" s="39" t="inlineStr"/>
      <c r="AG20" s="39" t="inlineStr"/>
      <c r="AH20" s="39" t="inlineStr"/>
      <c r="AI20" s="40" t="inlineStr"/>
    </row>
    <row r="21">
      <c r="A21" s="37" t="n">
        <v>16</v>
      </c>
      <c r="B21" s="31">
        <f>IF(INDEX(Klassenliste!$B$6:$B$40,16)=0,"",INDEX(Klassenliste!$B$6:$B$40,16))</f>
        <v/>
      </c>
      <c r="C21" s="31">
        <f>IF(INDEX(Klassenliste!$C$6:$C$40,16)=0,"",INDEX(Klassenliste!$C$6:$C$40,16))</f>
        <v/>
      </c>
      <c r="D21" s="19">
        <f>IF($B21="","",COUNTIF(F21:AI21,"e")+COUNTIF(F21:AI21,"u"))</f>
        <v/>
      </c>
      <c r="E21" s="38">
        <f>IF($B21="","",COUNTIF(F21:AI21,"u"))</f>
        <v/>
      </c>
      <c r="F21" s="39" t="inlineStr"/>
      <c r="G21" s="39" t="inlineStr"/>
      <c r="H21" s="39" t="inlineStr"/>
      <c r="I21" s="39" t="inlineStr"/>
      <c r="J21" s="40" t="inlineStr"/>
      <c r="K21" s="39" t="inlineStr"/>
      <c r="L21" s="39" t="inlineStr"/>
      <c r="M21" s="39" t="inlineStr"/>
      <c r="N21" s="39" t="inlineStr"/>
      <c r="O21" s="40" t="inlineStr"/>
      <c r="P21" s="39" t="inlineStr"/>
      <c r="Q21" s="39" t="inlineStr"/>
      <c r="R21" s="39" t="inlineStr"/>
      <c r="S21" s="39" t="inlineStr"/>
      <c r="T21" s="40" t="inlineStr"/>
      <c r="U21" s="39" t="inlineStr"/>
      <c r="V21" s="39" t="inlineStr"/>
      <c r="W21" s="39" t="inlineStr"/>
      <c r="X21" s="39" t="inlineStr"/>
      <c r="Y21" s="40" t="inlineStr"/>
      <c r="Z21" s="39" t="inlineStr"/>
      <c r="AA21" s="39" t="inlineStr"/>
      <c r="AB21" s="39" t="inlineStr"/>
      <c r="AC21" s="39" t="inlineStr"/>
      <c r="AD21" s="40" t="inlineStr"/>
      <c r="AE21" s="39" t="inlineStr"/>
      <c r="AF21" s="39" t="inlineStr"/>
      <c r="AG21" s="39" t="inlineStr"/>
      <c r="AH21" s="39" t="inlineStr"/>
      <c r="AI21" s="40" t="inlineStr"/>
    </row>
    <row r="22">
      <c r="A22" s="37" t="n">
        <v>17</v>
      </c>
      <c r="B22" s="31">
        <f>IF(INDEX(Klassenliste!$B$6:$B$40,17)=0,"",INDEX(Klassenliste!$B$6:$B$40,17))</f>
        <v/>
      </c>
      <c r="C22" s="31">
        <f>IF(INDEX(Klassenliste!$C$6:$C$40,17)=0,"",INDEX(Klassenliste!$C$6:$C$40,17))</f>
        <v/>
      </c>
      <c r="D22" s="19">
        <f>IF($B22="","",COUNTIF(F22:AI22,"e")+COUNTIF(F22:AI22,"u"))</f>
        <v/>
      </c>
      <c r="E22" s="38">
        <f>IF($B22="","",COUNTIF(F22:AI22,"u"))</f>
        <v/>
      </c>
      <c r="F22" s="39" t="inlineStr"/>
      <c r="G22" s="39" t="inlineStr"/>
      <c r="H22" s="39" t="inlineStr"/>
      <c r="I22" s="39" t="inlineStr"/>
      <c r="J22" s="40" t="inlineStr"/>
      <c r="K22" s="39" t="inlineStr"/>
      <c r="L22" s="39" t="inlineStr"/>
      <c r="M22" s="39" t="inlineStr"/>
      <c r="N22" s="39" t="inlineStr"/>
      <c r="O22" s="40" t="inlineStr"/>
      <c r="P22" s="39" t="inlineStr"/>
      <c r="Q22" s="39" t="inlineStr"/>
      <c r="R22" s="39" t="inlineStr"/>
      <c r="S22" s="39" t="inlineStr"/>
      <c r="T22" s="40" t="inlineStr"/>
      <c r="U22" s="39" t="inlineStr"/>
      <c r="V22" s="39" t="inlineStr"/>
      <c r="W22" s="39" t="inlineStr"/>
      <c r="X22" s="39" t="inlineStr"/>
      <c r="Y22" s="40" t="inlineStr"/>
      <c r="Z22" s="39" t="inlineStr"/>
      <c r="AA22" s="39" t="inlineStr"/>
      <c r="AB22" s="39" t="inlineStr"/>
      <c r="AC22" s="39" t="inlineStr"/>
      <c r="AD22" s="40" t="inlineStr"/>
      <c r="AE22" s="39" t="inlineStr"/>
      <c r="AF22" s="39" t="inlineStr"/>
      <c r="AG22" s="39" t="inlineStr"/>
      <c r="AH22" s="39" t="inlineStr"/>
      <c r="AI22" s="40" t="inlineStr"/>
    </row>
    <row r="23">
      <c r="A23" s="37" t="n">
        <v>18</v>
      </c>
      <c r="B23" s="31">
        <f>IF(INDEX(Klassenliste!$B$6:$B$40,18)=0,"",INDEX(Klassenliste!$B$6:$B$40,18))</f>
        <v/>
      </c>
      <c r="C23" s="31">
        <f>IF(INDEX(Klassenliste!$C$6:$C$40,18)=0,"",INDEX(Klassenliste!$C$6:$C$40,18))</f>
        <v/>
      </c>
      <c r="D23" s="19">
        <f>IF($B23="","",COUNTIF(F23:AI23,"e")+COUNTIF(F23:AI23,"u"))</f>
        <v/>
      </c>
      <c r="E23" s="38">
        <f>IF($B23="","",COUNTIF(F23:AI23,"u"))</f>
        <v/>
      </c>
      <c r="F23" s="39" t="inlineStr"/>
      <c r="G23" s="39" t="inlineStr"/>
      <c r="H23" s="39" t="inlineStr"/>
      <c r="I23" s="39" t="inlineStr"/>
      <c r="J23" s="40" t="inlineStr"/>
      <c r="K23" s="39" t="inlineStr"/>
      <c r="L23" s="39" t="inlineStr"/>
      <c r="M23" s="39" t="inlineStr"/>
      <c r="N23" s="39" t="inlineStr"/>
      <c r="O23" s="40" t="inlineStr"/>
      <c r="P23" s="39" t="inlineStr"/>
      <c r="Q23" s="39" t="inlineStr"/>
      <c r="R23" s="39" t="inlineStr"/>
      <c r="S23" s="39" t="inlineStr"/>
      <c r="T23" s="40" t="inlineStr"/>
      <c r="U23" s="39" t="inlineStr"/>
      <c r="V23" s="39" t="inlineStr"/>
      <c r="W23" s="39" t="inlineStr"/>
      <c r="X23" s="39" t="inlineStr"/>
      <c r="Y23" s="40" t="inlineStr"/>
      <c r="Z23" s="39" t="inlineStr"/>
      <c r="AA23" s="39" t="inlineStr"/>
      <c r="AB23" s="39" t="inlineStr"/>
      <c r="AC23" s="39" t="inlineStr"/>
      <c r="AD23" s="40" t="inlineStr"/>
      <c r="AE23" s="39" t="inlineStr"/>
      <c r="AF23" s="39" t="inlineStr"/>
      <c r="AG23" s="39" t="inlineStr"/>
      <c r="AH23" s="39" t="inlineStr"/>
      <c r="AI23" s="40" t="inlineStr"/>
    </row>
    <row r="24">
      <c r="A24" s="37" t="n">
        <v>19</v>
      </c>
      <c r="B24" s="31">
        <f>IF(INDEX(Klassenliste!$B$6:$B$40,19)=0,"",INDEX(Klassenliste!$B$6:$B$40,19))</f>
        <v/>
      </c>
      <c r="C24" s="31">
        <f>IF(INDEX(Klassenliste!$C$6:$C$40,19)=0,"",INDEX(Klassenliste!$C$6:$C$40,19))</f>
        <v/>
      </c>
      <c r="D24" s="19">
        <f>IF($B24="","",COUNTIF(F24:AI24,"e")+COUNTIF(F24:AI24,"u"))</f>
        <v/>
      </c>
      <c r="E24" s="38">
        <f>IF($B24="","",COUNTIF(F24:AI24,"u"))</f>
        <v/>
      </c>
      <c r="F24" s="39" t="inlineStr"/>
      <c r="G24" s="39" t="inlineStr"/>
      <c r="H24" s="39" t="inlineStr"/>
      <c r="I24" s="39" t="inlineStr"/>
      <c r="J24" s="40" t="inlineStr"/>
      <c r="K24" s="39" t="inlineStr"/>
      <c r="L24" s="39" t="inlineStr"/>
      <c r="M24" s="39" t="inlineStr"/>
      <c r="N24" s="39" t="inlineStr"/>
      <c r="O24" s="40" t="inlineStr"/>
      <c r="P24" s="39" t="inlineStr"/>
      <c r="Q24" s="39" t="inlineStr"/>
      <c r="R24" s="39" t="inlineStr"/>
      <c r="S24" s="39" t="inlineStr"/>
      <c r="T24" s="40" t="inlineStr"/>
      <c r="U24" s="39" t="inlineStr"/>
      <c r="V24" s="39" t="inlineStr"/>
      <c r="W24" s="39" t="inlineStr"/>
      <c r="X24" s="39" t="inlineStr"/>
      <c r="Y24" s="40" t="inlineStr"/>
      <c r="Z24" s="39" t="inlineStr"/>
      <c r="AA24" s="39" t="inlineStr"/>
      <c r="AB24" s="39" t="inlineStr"/>
      <c r="AC24" s="39" t="inlineStr"/>
      <c r="AD24" s="40" t="inlineStr"/>
      <c r="AE24" s="39" t="inlineStr"/>
      <c r="AF24" s="39" t="inlineStr"/>
      <c r="AG24" s="39" t="inlineStr"/>
      <c r="AH24" s="39" t="inlineStr"/>
      <c r="AI24" s="40" t="inlineStr"/>
    </row>
    <row r="25">
      <c r="A25" s="37" t="n">
        <v>20</v>
      </c>
      <c r="B25" s="31">
        <f>IF(INDEX(Klassenliste!$B$6:$B$40,20)=0,"",INDEX(Klassenliste!$B$6:$B$40,20))</f>
        <v/>
      </c>
      <c r="C25" s="31">
        <f>IF(INDEX(Klassenliste!$C$6:$C$40,20)=0,"",INDEX(Klassenliste!$C$6:$C$40,20))</f>
        <v/>
      </c>
      <c r="D25" s="19">
        <f>IF($B25="","",COUNTIF(F25:AI25,"e")+COUNTIF(F25:AI25,"u"))</f>
        <v/>
      </c>
      <c r="E25" s="38">
        <f>IF($B25="","",COUNTIF(F25:AI25,"u"))</f>
        <v/>
      </c>
      <c r="F25" s="39" t="inlineStr"/>
      <c r="G25" s="39" t="inlineStr"/>
      <c r="H25" s="39" t="inlineStr"/>
      <c r="I25" s="39" t="inlineStr"/>
      <c r="J25" s="40" t="inlineStr"/>
      <c r="K25" s="39" t="inlineStr"/>
      <c r="L25" s="39" t="inlineStr"/>
      <c r="M25" s="39" t="inlineStr"/>
      <c r="N25" s="39" t="inlineStr"/>
      <c r="O25" s="40" t="inlineStr"/>
      <c r="P25" s="39" t="inlineStr"/>
      <c r="Q25" s="39" t="inlineStr"/>
      <c r="R25" s="39" t="inlineStr"/>
      <c r="S25" s="39" t="inlineStr"/>
      <c r="T25" s="40" t="inlineStr"/>
      <c r="U25" s="39" t="inlineStr"/>
      <c r="V25" s="39" t="inlineStr"/>
      <c r="W25" s="39" t="inlineStr"/>
      <c r="X25" s="39" t="inlineStr"/>
      <c r="Y25" s="40" t="inlineStr"/>
      <c r="Z25" s="39" t="inlineStr"/>
      <c r="AA25" s="39" t="inlineStr"/>
      <c r="AB25" s="39" t="inlineStr"/>
      <c r="AC25" s="39" t="inlineStr"/>
      <c r="AD25" s="40" t="inlineStr"/>
      <c r="AE25" s="39" t="inlineStr"/>
      <c r="AF25" s="39" t="inlineStr"/>
      <c r="AG25" s="39" t="inlineStr"/>
      <c r="AH25" s="39" t="inlineStr"/>
      <c r="AI25" s="40" t="inlineStr"/>
    </row>
    <row r="26">
      <c r="A26" s="37" t="n">
        <v>21</v>
      </c>
      <c r="B26" s="31">
        <f>IF(INDEX(Klassenliste!$B$6:$B$40,21)=0,"",INDEX(Klassenliste!$B$6:$B$40,21))</f>
        <v/>
      </c>
      <c r="C26" s="31">
        <f>IF(INDEX(Klassenliste!$C$6:$C$40,21)=0,"",INDEX(Klassenliste!$C$6:$C$40,21))</f>
        <v/>
      </c>
      <c r="D26" s="19">
        <f>IF($B26="","",COUNTIF(F26:AI26,"e")+COUNTIF(F26:AI26,"u"))</f>
        <v/>
      </c>
      <c r="E26" s="38">
        <f>IF($B26="","",COUNTIF(F26:AI26,"u"))</f>
        <v/>
      </c>
      <c r="F26" s="39" t="inlineStr"/>
      <c r="G26" s="39" t="inlineStr"/>
      <c r="H26" s="39" t="inlineStr"/>
      <c r="I26" s="39" t="inlineStr"/>
      <c r="J26" s="40" t="inlineStr"/>
      <c r="K26" s="39" t="inlineStr"/>
      <c r="L26" s="39" t="inlineStr"/>
      <c r="M26" s="39" t="inlineStr"/>
      <c r="N26" s="39" t="inlineStr"/>
      <c r="O26" s="40" t="inlineStr"/>
      <c r="P26" s="39" t="inlineStr"/>
      <c r="Q26" s="39" t="inlineStr"/>
      <c r="R26" s="39" t="inlineStr"/>
      <c r="S26" s="39" t="inlineStr"/>
      <c r="T26" s="40" t="inlineStr"/>
      <c r="U26" s="39" t="inlineStr"/>
      <c r="V26" s="39" t="inlineStr"/>
      <c r="W26" s="39" t="inlineStr"/>
      <c r="X26" s="39" t="inlineStr"/>
      <c r="Y26" s="40" t="inlineStr"/>
      <c r="Z26" s="39" t="inlineStr"/>
      <c r="AA26" s="39" t="inlineStr"/>
      <c r="AB26" s="39" t="inlineStr"/>
      <c r="AC26" s="39" t="inlineStr"/>
      <c r="AD26" s="40" t="inlineStr"/>
      <c r="AE26" s="39" t="inlineStr"/>
      <c r="AF26" s="39" t="inlineStr"/>
      <c r="AG26" s="39" t="inlineStr"/>
      <c r="AH26" s="39" t="inlineStr"/>
      <c r="AI26" s="40" t="inlineStr"/>
    </row>
    <row r="27">
      <c r="A27" s="37" t="n">
        <v>22</v>
      </c>
      <c r="B27" s="31">
        <f>IF(INDEX(Klassenliste!$B$6:$B$40,22)=0,"",INDEX(Klassenliste!$B$6:$B$40,22))</f>
        <v/>
      </c>
      <c r="C27" s="31">
        <f>IF(INDEX(Klassenliste!$C$6:$C$40,22)=0,"",INDEX(Klassenliste!$C$6:$C$40,22))</f>
        <v/>
      </c>
      <c r="D27" s="19">
        <f>IF($B27="","",COUNTIF(F27:AI27,"e")+COUNTIF(F27:AI27,"u"))</f>
        <v/>
      </c>
      <c r="E27" s="38">
        <f>IF($B27="","",COUNTIF(F27:AI27,"u"))</f>
        <v/>
      </c>
      <c r="F27" s="39" t="inlineStr"/>
      <c r="G27" s="39" t="inlineStr"/>
      <c r="H27" s="39" t="inlineStr"/>
      <c r="I27" s="39" t="inlineStr"/>
      <c r="J27" s="40" t="inlineStr"/>
      <c r="K27" s="39" t="inlineStr"/>
      <c r="L27" s="39" t="inlineStr"/>
      <c r="M27" s="39" t="inlineStr"/>
      <c r="N27" s="39" t="inlineStr"/>
      <c r="O27" s="40" t="inlineStr"/>
      <c r="P27" s="39" t="inlineStr"/>
      <c r="Q27" s="39" t="inlineStr"/>
      <c r="R27" s="39" t="inlineStr"/>
      <c r="S27" s="39" t="inlineStr"/>
      <c r="T27" s="40" t="inlineStr"/>
      <c r="U27" s="39" t="inlineStr"/>
      <c r="V27" s="39" t="inlineStr"/>
      <c r="W27" s="39" t="inlineStr"/>
      <c r="X27" s="39" t="inlineStr"/>
      <c r="Y27" s="40" t="inlineStr"/>
      <c r="Z27" s="39" t="inlineStr"/>
      <c r="AA27" s="39" t="inlineStr"/>
      <c r="AB27" s="39" t="inlineStr"/>
      <c r="AC27" s="39" t="inlineStr"/>
      <c r="AD27" s="40" t="inlineStr"/>
      <c r="AE27" s="39" t="inlineStr"/>
      <c r="AF27" s="39" t="inlineStr"/>
      <c r="AG27" s="39" t="inlineStr"/>
      <c r="AH27" s="39" t="inlineStr"/>
      <c r="AI27" s="40" t="inlineStr"/>
    </row>
    <row r="28">
      <c r="A28" s="37" t="n">
        <v>23</v>
      </c>
      <c r="B28" s="31">
        <f>IF(INDEX(Klassenliste!$B$6:$B$40,23)=0,"",INDEX(Klassenliste!$B$6:$B$40,23))</f>
        <v/>
      </c>
      <c r="C28" s="31">
        <f>IF(INDEX(Klassenliste!$C$6:$C$40,23)=0,"",INDEX(Klassenliste!$C$6:$C$40,23))</f>
        <v/>
      </c>
      <c r="D28" s="19">
        <f>IF($B28="","",COUNTIF(F28:AI28,"e")+COUNTIF(F28:AI28,"u"))</f>
        <v/>
      </c>
      <c r="E28" s="38">
        <f>IF($B28="","",COUNTIF(F28:AI28,"u"))</f>
        <v/>
      </c>
      <c r="F28" s="39" t="inlineStr"/>
      <c r="G28" s="39" t="inlineStr"/>
      <c r="H28" s="39" t="inlineStr"/>
      <c r="I28" s="39" t="inlineStr"/>
      <c r="J28" s="40" t="inlineStr"/>
      <c r="K28" s="39" t="inlineStr"/>
      <c r="L28" s="39" t="inlineStr"/>
      <c r="M28" s="39" t="inlineStr"/>
      <c r="N28" s="39" t="inlineStr"/>
      <c r="O28" s="40" t="inlineStr"/>
      <c r="P28" s="39" t="inlineStr"/>
      <c r="Q28" s="39" t="inlineStr"/>
      <c r="R28" s="39" t="inlineStr"/>
      <c r="S28" s="39" t="inlineStr"/>
      <c r="T28" s="40" t="inlineStr"/>
      <c r="U28" s="39" t="inlineStr"/>
      <c r="V28" s="39" t="inlineStr"/>
      <c r="W28" s="39" t="inlineStr"/>
      <c r="X28" s="39" t="inlineStr"/>
      <c r="Y28" s="40" t="inlineStr"/>
      <c r="Z28" s="39" t="inlineStr"/>
      <c r="AA28" s="39" t="inlineStr"/>
      <c r="AB28" s="39" t="inlineStr"/>
      <c r="AC28" s="39" t="inlineStr"/>
      <c r="AD28" s="40" t="inlineStr"/>
      <c r="AE28" s="39" t="inlineStr"/>
      <c r="AF28" s="39" t="inlineStr"/>
      <c r="AG28" s="39" t="inlineStr"/>
      <c r="AH28" s="39" t="inlineStr"/>
      <c r="AI28" s="40" t="inlineStr"/>
    </row>
    <row r="29">
      <c r="A29" s="37" t="n">
        <v>24</v>
      </c>
      <c r="B29" s="31">
        <f>IF(INDEX(Klassenliste!$B$6:$B$40,24)=0,"",INDEX(Klassenliste!$B$6:$B$40,24))</f>
        <v/>
      </c>
      <c r="C29" s="31">
        <f>IF(INDEX(Klassenliste!$C$6:$C$40,24)=0,"",INDEX(Klassenliste!$C$6:$C$40,24))</f>
        <v/>
      </c>
      <c r="D29" s="19">
        <f>IF($B29="","",COUNTIF(F29:AI29,"e")+COUNTIF(F29:AI29,"u"))</f>
        <v/>
      </c>
      <c r="E29" s="38">
        <f>IF($B29="","",COUNTIF(F29:AI29,"u"))</f>
        <v/>
      </c>
      <c r="F29" s="39" t="inlineStr"/>
      <c r="G29" s="39" t="inlineStr"/>
      <c r="H29" s="39" t="inlineStr"/>
      <c r="I29" s="39" t="inlineStr"/>
      <c r="J29" s="40" t="inlineStr"/>
      <c r="K29" s="39" t="inlineStr"/>
      <c r="L29" s="39" t="inlineStr"/>
      <c r="M29" s="39" t="inlineStr"/>
      <c r="N29" s="39" t="inlineStr"/>
      <c r="O29" s="40" t="inlineStr"/>
      <c r="P29" s="39" t="inlineStr"/>
      <c r="Q29" s="39" t="inlineStr"/>
      <c r="R29" s="39" t="inlineStr"/>
      <c r="S29" s="39" t="inlineStr"/>
      <c r="T29" s="40" t="inlineStr"/>
      <c r="U29" s="39" t="inlineStr"/>
      <c r="V29" s="39" t="inlineStr"/>
      <c r="W29" s="39" t="inlineStr"/>
      <c r="X29" s="39" t="inlineStr"/>
      <c r="Y29" s="40" t="inlineStr"/>
      <c r="Z29" s="39" t="inlineStr"/>
      <c r="AA29" s="39" t="inlineStr"/>
      <c r="AB29" s="39" t="inlineStr"/>
      <c r="AC29" s="39" t="inlineStr"/>
      <c r="AD29" s="40" t="inlineStr"/>
      <c r="AE29" s="39" t="inlineStr"/>
      <c r="AF29" s="39" t="inlineStr"/>
      <c r="AG29" s="39" t="inlineStr"/>
      <c r="AH29" s="39" t="inlineStr"/>
      <c r="AI29" s="40" t="inlineStr"/>
    </row>
    <row r="30">
      <c r="A30" s="37" t="n">
        <v>25</v>
      </c>
      <c r="B30" s="31">
        <f>IF(INDEX(Klassenliste!$B$6:$B$40,25)=0,"",INDEX(Klassenliste!$B$6:$B$40,25))</f>
        <v/>
      </c>
      <c r="C30" s="31">
        <f>IF(INDEX(Klassenliste!$C$6:$C$40,25)=0,"",INDEX(Klassenliste!$C$6:$C$40,25))</f>
        <v/>
      </c>
      <c r="D30" s="19">
        <f>IF($B30="","",COUNTIF(F30:AI30,"e")+COUNTIF(F30:AI30,"u"))</f>
        <v/>
      </c>
      <c r="E30" s="38">
        <f>IF($B30="","",COUNTIF(F30:AI30,"u"))</f>
        <v/>
      </c>
      <c r="F30" s="39" t="inlineStr"/>
      <c r="G30" s="39" t="inlineStr"/>
      <c r="H30" s="39" t="inlineStr"/>
      <c r="I30" s="39" t="inlineStr"/>
      <c r="J30" s="40" t="inlineStr"/>
      <c r="K30" s="39" t="inlineStr"/>
      <c r="L30" s="39" t="inlineStr"/>
      <c r="M30" s="39" t="inlineStr"/>
      <c r="N30" s="39" t="inlineStr"/>
      <c r="O30" s="40" t="inlineStr"/>
      <c r="P30" s="39" t="inlineStr"/>
      <c r="Q30" s="39" t="inlineStr"/>
      <c r="R30" s="39" t="inlineStr"/>
      <c r="S30" s="39" t="inlineStr"/>
      <c r="T30" s="40" t="inlineStr"/>
      <c r="U30" s="39" t="inlineStr"/>
      <c r="V30" s="39" t="inlineStr"/>
      <c r="W30" s="39" t="inlineStr"/>
      <c r="X30" s="39" t="inlineStr"/>
      <c r="Y30" s="40" t="inlineStr"/>
      <c r="Z30" s="39" t="inlineStr"/>
      <c r="AA30" s="39" t="inlineStr"/>
      <c r="AB30" s="39" t="inlineStr"/>
      <c r="AC30" s="39" t="inlineStr"/>
      <c r="AD30" s="40" t="inlineStr"/>
      <c r="AE30" s="39" t="inlineStr"/>
      <c r="AF30" s="39" t="inlineStr"/>
      <c r="AG30" s="39" t="inlineStr"/>
      <c r="AH30" s="39" t="inlineStr"/>
      <c r="AI30" s="40" t="inlineStr"/>
    </row>
    <row r="31">
      <c r="A31" s="37" t="n">
        <v>26</v>
      </c>
      <c r="B31" s="31">
        <f>IF(INDEX(Klassenliste!$B$6:$B$40,26)=0,"",INDEX(Klassenliste!$B$6:$B$40,26))</f>
        <v/>
      </c>
      <c r="C31" s="31">
        <f>IF(INDEX(Klassenliste!$C$6:$C$40,26)=0,"",INDEX(Klassenliste!$C$6:$C$40,26))</f>
        <v/>
      </c>
      <c r="D31" s="19">
        <f>IF($B31="","",COUNTIF(F31:AI31,"e")+COUNTIF(F31:AI31,"u"))</f>
        <v/>
      </c>
      <c r="E31" s="38">
        <f>IF($B31="","",COUNTIF(F31:AI31,"u"))</f>
        <v/>
      </c>
      <c r="F31" s="39" t="inlineStr"/>
      <c r="G31" s="39" t="inlineStr"/>
      <c r="H31" s="39" t="inlineStr"/>
      <c r="I31" s="39" t="inlineStr"/>
      <c r="J31" s="40" t="inlineStr"/>
      <c r="K31" s="39" t="inlineStr"/>
      <c r="L31" s="39" t="inlineStr"/>
      <c r="M31" s="39" t="inlineStr"/>
      <c r="N31" s="39" t="inlineStr"/>
      <c r="O31" s="40" t="inlineStr"/>
      <c r="P31" s="39" t="inlineStr"/>
      <c r="Q31" s="39" t="inlineStr"/>
      <c r="R31" s="39" t="inlineStr"/>
      <c r="S31" s="39" t="inlineStr"/>
      <c r="T31" s="40" t="inlineStr"/>
      <c r="U31" s="39" t="inlineStr"/>
      <c r="V31" s="39" t="inlineStr"/>
      <c r="W31" s="39" t="inlineStr"/>
      <c r="X31" s="39" t="inlineStr"/>
      <c r="Y31" s="40" t="inlineStr"/>
      <c r="Z31" s="39" t="inlineStr"/>
      <c r="AA31" s="39" t="inlineStr"/>
      <c r="AB31" s="39" t="inlineStr"/>
      <c r="AC31" s="39" t="inlineStr"/>
      <c r="AD31" s="40" t="inlineStr"/>
      <c r="AE31" s="39" t="inlineStr"/>
      <c r="AF31" s="39" t="inlineStr"/>
      <c r="AG31" s="39" t="inlineStr"/>
      <c r="AH31" s="39" t="inlineStr"/>
      <c r="AI31" s="40" t="inlineStr"/>
    </row>
    <row r="32">
      <c r="A32" s="37" t="n">
        <v>27</v>
      </c>
      <c r="B32" s="31">
        <f>IF(INDEX(Klassenliste!$B$6:$B$40,27)=0,"",INDEX(Klassenliste!$B$6:$B$40,27))</f>
        <v/>
      </c>
      <c r="C32" s="31">
        <f>IF(INDEX(Klassenliste!$C$6:$C$40,27)=0,"",INDEX(Klassenliste!$C$6:$C$40,27))</f>
        <v/>
      </c>
      <c r="D32" s="19">
        <f>IF($B32="","",COUNTIF(F32:AI32,"e")+COUNTIF(F32:AI32,"u"))</f>
        <v/>
      </c>
      <c r="E32" s="38">
        <f>IF($B32="","",COUNTIF(F32:AI32,"u"))</f>
        <v/>
      </c>
      <c r="F32" s="39" t="inlineStr"/>
      <c r="G32" s="39" t="inlineStr"/>
      <c r="H32" s="39" t="inlineStr"/>
      <c r="I32" s="39" t="inlineStr"/>
      <c r="J32" s="40" t="inlineStr"/>
      <c r="K32" s="39" t="inlineStr"/>
      <c r="L32" s="39" t="inlineStr"/>
      <c r="M32" s="39" t="inlineStr"/>
      <c r="N32" s="39" t="inlineStr"/>
      <c r="O32" s="40" t="inlineStr"/>
      <c r="P32" s="39" t="inlineStr"/>
      <c r="Q32" s="39" t="inlineStr"/>
      <c r="R32" s="39" t="inlineStr"/>
      <c r="S32" s="39" t="inlineStr"/>
      <c r="T32" s="40" t="inlineStr"/>
      <c r="U32" s="39" t="inlineStr"/>
      <c r="V32" s="39" t="inlineStr"/>
      <c r="W32" s="39" t="inlineStr"/>
      <c r="X32" s="39" t="inlineStr"/>
      <c r="Y32" s="40" t="inlineStr"/>
      <c r="Z32" s="39" t="inlineStr"/>
      <c r="AA32" s="39" t="inlineStr"/>
      <c r="AB32" s="39" t="inlineStr"/>
      <c r="AC32" s="39" t="inlineStr"/>
      <c r="AD32" s="40" t="inlineStr"/>
      <c r="AE32" s="39" t="inlineStr"/>
      <c r="AF32" s="39" t="inlineStr"/>
      <c r="AG32" s="39" t="inlineStr"/>
      <c r="AH32" s="39" t="inlineStr"/>
      <c r="AI32" s="40" t="inlineStr"/>
    </row>
    <row r="33">
      <c r="A33" s="37" t="n">
        <v>28</v>
      </c>
      <c r="B33" s="31">
        <f>IF(INDEX(Klassenliste!$B$6:$B$40,28)=0,"",INDEX(Klassenliste!$B$6:$B$40,28))</f>
        <v/>
      </c>
      <c r="C33" s="31">
        <f>IF(INDEX(Klassenliste!$C$6:$C$40,28)=0,"",INDEX(Klassenliste!$C$6:$C$40,28))</f>
        <v/>
      </c>
      <c r="D33" s="19">
        <f>IF($B33="","",COUNTIF(F33:AI33,"e")+COUNTIF(F33:AI33,"u"))</f>
        <v/>
      </c>
      <c r="E33" s="38">
        <f>IF($B33="","",COUNTIF(F33:AI33,"u"))</f>
        <v/>
      </c>
      <c r="F33" s="39" t="inlineStr"/>
      <c r="G33" s="39" t="inlineStr"/>
      <c r="H33" s="39" t="inlineStr"/>
      <c r="I33" s="39" t="inlineStr"/>
      <c r="J33" s="40" t="inlineStr"/>
      <c r="K33" s="39" t="inlineStr"/>
      <c r="L33" s="39" t="inlineStr"/>
      <c r="M33" s="39" t="inlineStr"/>
      <c r="N33" s="39" t="inlineStr"/>
      <c r="O33" s="40" t="inlineStr"/>
      <c r="P33" s="39" t="inlineStr"/>
      <c r="Q33" s="39" t="inlineStr"/>
      <c r="R33" s="39" t="inlineStr"/>
      <c r="S33" s="39" t="inlineStr"/>
      <c r="T33" s="40" t="inlineStr"/>
      <c r="U33" s="39" t="inlineStr"/>
      <c r="V33" s="39" t="inlineStr"/>
      <c r="W33" s="39" t="inlineStr"/>
      <c r="X33" s="39" t="inlineStr"/>
      <c r="Y33" s="40" t="inlineStr"/>
      <c r="Z33" s="39" t="inlineStr"/>
      <c r="AA33" s="39" t="inlineStr"/>
      <c r="AB33" s="39" t="inlineStr"/>
      <c r="AC33" s="39" t="inlineStr"/>
      <c r="AD33" s="40" t="inlineStr"/>
      <c r="AE33" s="39" t="inlineStr"/>
      <c r="AF33" s="39" t="inlineStr"/>
      <c r="AG33" s="39" t="inlineStr"/>
      <c r="AH33" s="39" t="inlineStr"/>
      <c r="AI33" s="40" t="inlineStr"/>
    </row>
    <row r="34">
      <c r="A34" s="37" t="n">
        <v>29</v>
      </c>
      <c r="B34" s="31">
        <f>IF(INDEX(Klassenliste!$B$6:$B$40,29)=0,"",INDEX(Klassenliste!$B$6:$B$40,29))</f>
        <v/>
      </c>
      <c r="C34" s="31">
        <f>IF(INDEX(Klassenliste!$C$6:$C$40,29)=0,"",INDEX(Klassenliste!$C$6:$C$40,29))</f>
        <v/>
      </c>
      <c r="D34" s="19">
        <f>IF($B34="","",COUNTIF(F34:AI34,"e")+COUNTIF(F34:AI34,"u"))</f>
        <v/>
      </c>
      <c r="E34" s="38">
        <f>IF($B34="","",COUNTIF(F34:AI34,"u"))</f>
        <v/>
      </c>
      <c r="F34" s="39" t="inlineStr"/>
      <c r="G34" s="39" t="inlineStr"/>
      <c r="H34" s="39" t="inlineStr"/>
      <c r="I34" s="39" t="inlineStr"/>
      <c r="J34" s="40" t="inlineStr"/>
      <c r="K34" s="39" t="inlineStr"/>
      <c r="L34" s="39" t="inlineStr"/>
      <c r="M34" s="39" t="inlineStr"/>
      <c r="N34" s="39" t="inlineStr"/>
      <c r="O34" s="40" t="inlineStr"/>
      <c r="P34" s="39" t="inlineStr"/>
      <c r="Q34" s="39" t="inlineStr"/>
      <c r="R34" s="39" t="inlineStr"/>
      <c r="S34" s="39" t="inlineStr"/>
      <c r="T34" s="40" t="inlineStr"/>
      <c r="U34" s="39" t="inlineStr"/>
      <c r="V34" s="39" t="inlineStr"/>
      <c r="W34" s="39" t="inlineStr"/>
      <c r="X34" s="39" t="inlineStr"/>
      <c r="Y34" s="40" t="inlineStr"/>
      <c r="Z34" s="39" t="inlineStr"/>
      <c r="AA34" s="39" t="inlineStr"/>
      <c r="AB34" s="39" t="inlineStr"/>
      <c r="AC34" s="39" t="inlineStr"/>
      <c r="AD34" s="40" t="inlineStr"/>
      <c r="AE34" s="39" t="inlineStr"/>
      <c r="AF34" s="39" t="inlineStr"/>
      <c r="AG34" s="39" t="inlineStr"/>
      <c r="AH34" s="39" t="inlineStr"/>
      <c r="AI34" s="40" t="inlineStr"/>
    </row>
    <row r="35">
      <c r="A35" s="37" t="n">
        <v>30</v>
      </c>
      <c r="B35" s="31">
        <f>IF(INDEX(Klassenliste!$B$6:$B$40,30)=0,"",INDEX(Klassenliste!$B$6:$B$40,30))</f>
        <v/>
      </c>
      <c r="C35" s="31">
        <f>IF(INDEX(Klassenliste!$C$6:$C$40,30)=0,"",INDEX(Klassenliste!$C$6:$C$40,30))</f>
        <v/>
      </c>
      <c r="D35" s="19">
        <f>IF($B35="","",COUNTIF(F35:AI35,"e")+COUNTIF(F35:AI35,"u"))</f>
        <v/>
      </c>
      <c r="E35" s="38">
        <f>IF($B35="","",COUNTIF(F35:AI35,"u"))</f>
        <v/>
      </c>
      <c r="F35" s="39" t="inlineStr"/>
      <c r="G35" s="39" t="inlineStr"/>
      <c r="H35" s="39" t="inlineStr"/>
      <c r="I35" s="39" t="inlineStr"/>
      <c r="J35" s="40" t="inlineStr"/>
      <c r="K35" s="39" t="inlineStr"/>
      <c r="L35" s="39" t="inlineStr"/>
      <c r="M35" s="39" t="inlineStr"/>
      <c r="N35" s="39" t="inlineStr"/>
      <c r="O35" s="40" t="inlineStr"/>
      <c r="P35" s="39" t="inlineStr"/>
      <c r="Q35" s="39" t="inlineStr"/>
      <c r="R35" s="39" t="inlineStr"/>
      <c r="S35" s="39" t="inlineStr"/>
      <c r="T35" s="40" t="inlineStr"/>
      <c r="U35" s="39" t="inlineStr"/>
      <c r="V35" s="39" t="inlineStr"/>
      <c r="W35" s="39" t="inlineStr"/>
      <c r="X35" s="39" t="inlineStr"/>
      <c r="Y35" s="40" t="inlineStr"/>
      <c r="Z35" s="39" t="inlineStr"/>
      <c r="AA35" s="39" t="inlineStr"/>
      <c r="AB35" s="39" t="inlineStr"/>
      <c r="AC35" s="39" t="inlineStr"/>
      <c r="AD35" s="40" t="inlineStr"/>
      <c r="AE35" s="39" t="inlineStr"/>
      <c r="AF35" s="39" t="inlineStr"/>
      <c r="AG35" s="39" t="inlineStr"/>
      <c r="AH35" s="39" t="inlineStr"/>
      <c r="AI35" s="40" t="inlineStr"/>
    </row>
    <row r="36">
      <c r="A36" s="37" t="n">
        <v>31</v>
      </c>
      <c r="B36" s="31">
        <f>IF(INDEX(Klassenliste!$B$6:$B$40,31)=0,"",INDEX(Klassenliste!$B$6:$B$40,31))</f>
        <v/>
      </c>
      <c r="C36" s="31">
        <f>IF(INDEX(Klassenliste!$C$6:$C$40,31)=0,"",INDEX(Klassenliste!$C$6:$C$40,31))</f>
        <v/>
      </c>
      <c r="D36" s="19">
        <f>IF($B36="","",COUNTIF(F36:AI36,"e")+COUNTIF(F36:AI36,"u"))</f>
        <v/>
      </c>
      <c r="E36" s="38">
        <f>IF($B36="","",COUNTIF(F36:AI36,"u"))</f>
        <v/>
      </c>
      <c r="F36" s="39" t="inlineStr"/>
      <c r="G36" s="39" t="inlineStr"/>
      <c r="H36" s="39" t="inlineStr"/>
      <c r="I36" s="39" t="inlineStr"/>
      <c r="J36" s="40" t="inlineStr"/>
      <c r="K36" s="39" t="inlineStr"/>
      <c r="L36" s="39" t="inlineStr"/>
      <c r="M36" s="39" t="inlineStr"/>
      <c r="N36" s="39" t="inlineStr"/>
      <c r="O36" s="40" t="inlineStr"/>
      <c r="P36" s="39" t="inlineStr"/>
      <c r="Q36" s="39" t="inlineStr"/>
      <c r="R36" s="39" t="inlineStr"/>
      <c r="S36" s="39" t="inlineStr"/>
      <c r="T36" s="40" t="inlineStr"/>
      <c r="U36" s="39" t="inlineStr"/>
      <c r="V36" s="39" t="inlineStr"/>
      <c r="W36" s="39" t="inlineStr"/>
      <c r="X36" s="39" t="inlineStr"/>
      <c r="Y36" s="40" t="inlineStr"/>
      <c r="Z36" s="39" t="inlineStr"/>
      <c r="AA36" s="39" t="inlineStr"/>
      <c r="AB36" s="39" t="inlineStr"/>
      <c r="AC36" s="39" t="inlineStr"/>
      <c r="AD36" s="40" t="inlineStr"/>
      <c r="AE36" s="39" t="inlineStr"/>
      <c r="AF36" s="39" t="inlineStr"/>
      <c r="AG36" s="39" t="inlineStr"/>
      <c r="AH36" s="39" t="inlineStr"/>
      <c r="AI36" s="40" t="inlineStr"/>
    </row>
    <row r="37">
      <c r="A37" s="37" t="n">
        <v>32</v>
      </c>
      <c r="B37" s="31">
        <f>IF(INDEX(Klassenliste!$B$6:$B$40,32)=0,"",INDEX(Klassenliste!$B$6:$B$40,32))</f>
        <v/>
      </c>
      <c r="C37" s="31">
        <f>IF(INDEX(Klassenliste!$C$6:$C$40,32)=0,"",INDEX(Klassenliste!$C$6:$C$40,32))</f>
        <v/>
      </c>
      <c r="D37" s="19">
        <f>IF($B37="","",COUNTIF(F37:AI37,"e")+COUNTIF(F37:AI37,"u"))</f>
        <v/>
      </c>
      <c r="E37" s="38">
        <f>IF($B37="","",COUNTIF(F37:AI37,"u"))</f>
        <v/>
      </c>
      <c r="F37" s="39" t="inlineStr"/>
      <c r="G37" s="39" t="inlineStr"/>
      <c r="H37" s="39" t="inlineStr"/>
      <c r="I37" s="39" t="inlineStr"/>
      <c r="J37" s="40" t="inlineStr"/>
      <c r="K37" s="39" t="inlineStr"/>
      <c r="L37" s="39" t="inlineStr"/>
      <c r="M37" s="39" t="inlineStr"/>
      <c r="N37" s="39" t="inlineStr"/>
      <c r="O37" s="40" t="inlineStr"/>
      <c r="P37" s="39" t="inlineStr"/>
      <c r="Q37" s="39" t="inlineStr"/>
      <c r="R37" s="39" t="inlineStr"/>
      <c r="S37" s="39" t="inlineStr"/>
      <c r="T37" s="40" t="inlineStr"/>
      <c r="U37" s="39" t="inlineStr"/>
      <c r="V37" s="39" t="inlineStr"/>
      <c r="W37" s="39" t="inlineStr"/>
      <c r="X37" s="39" t="inlineStr"/>
      <c r="Y37" s="40" t="inlineStr"/>
      <c r="Z37" s="39" t="inlineStr"/>
      <c r="AA37" s="39" t="inlineStr"/>
      <c r="AB37" s="39" t="inlineStr"/>
      <c r="AC37" s="39" t="inlineStr"/>
      <c r="AD37" s="40" t="inlineStr"/>
      <c r="AE37" s="39" t="inlineStr"/>
      <c r="AF37" s="39" t="inlineStr"/>
      <c r="AG37" s="39" t="inlineStr"/>
      <c r="AH37" s="39" t="inlineStr"/>
      <c r="AI37" s="40" t="inlineStr"/>
    </row>
    <row r="38">
      <c r="A38" s="37" t="n">
        <v>33</v>
      </c>
      <c r="B38" s="31">
        <f>IF(INDEX(Klassenliste!$B$6:$B$40,33)=0,"",INDEX(Klassenliste!$B$6:$B$40,33))</f>
        <v/>
      </c>
      <c r="C38" s="31">
        <f>IF(INDEX(Klassenliste!$C$6:$C$40,33)=0,"",INDEX(Klassenliste!$C$6:$C$40,33))</f>
        <v/>
      </c>
      <c r="D38" s="19">
        <f>IF($B38="","",COUNTIF(F38:AI38,"e")+COUNTIF(F38:AI38,"u"))</f>
        <v/>
      </c>
      <c r="E38" s="38">
        <f>IF($B38="","",COUNTIF(F38:AI38,"u"))</f>
        <v/>
      </c>
      <c r="F38" s="39" t="inlineStr"/>
      <c r="G38" s="39" t="inlineStr"/>
      <c r="H38" s="39" t="inlineStr"/>
      <c r="I38" s="39" t="inlineStr"/>
      <c r="J38" s="40" t="inlineStr"/>
      <c r="K38" s="39" t="inlineStr"/>
      <c r="L38" s="39" t="inlineStr"/>
      <c r="M38" s="39" t="inlineStr"/>
      <c r="N38" s="39" t="inlineStr"/>
      <c r="O38" s="40" t="inlineStr"/>
      <c r="P38" s="39" t="inlineStr"/>
      <c r="Q38" s="39" t="inlineStr"/>
      <c r="R38" s="39" t="inlineStr"/>
      <c r="S38" s="39" t="inlineStr"/>
      <c r="T38" s="40" t="inlineStr"/>
      <c r="U38" s="39" t="inlineStr"/>
      <c r="V38" s="39" t="inlineStr"/>
      <c r="W38" s="39" t="inlineStr"/>
      <c r="X38" s="39" t="inlineStr"/>
      <c r="Y38" s="40" t="inlineStr"/>
      <c r="Z38" s="39" t="inlineStr"/>
      <c r="AA38" s="39" t="inlineStr"/>
      <c r="AB38" s="39" t="inlineStr"/>
      <c r="AC38" s="39" t="inlineStr"/>
      <c r="AD38" s="40" t="inlineStr"/>
      <c r="AE38" s="39" t="inlineStr"/>
      <c r="AF38" s="39" t="inlineStr"/>
      <c r="AG38" s="39" t="inlineStr"/>
      <c r="AH38" s="39" t="inlineStr"/>
      <c r="AI38" s="40" t="inlineStr"/>
    </row>
    <row r="39">
      <c r="A39" s="37" t="n">
        <v>34</v>
      </c>
      <c r="B39" s="31">
        <f>IF(INDEX(Klassenliste!$B$6:$B$40,34)=0,"",INDEX(Klassenliste!$B$6:$B$40,34))</f>
        <v/>
      </c>
      <c r="C39" s="31">
        <f>IF(INDEX(Klassenliste!$C$6:$C$40,34)=0,"",INDEX(Klassenliste!$C$6:$C$40,34))</f>
        <v/>
      </c>
      <c r="D39" s="19">
        <f>IF($B39="","",COUNTIF(F39:AI39,"e")+COUNTIF(F39:AI39,"u"))</f>
        <v/>
      </c>
      <c r="E39" s="38">
        <f>IF($B39="","",COUNTIF(F39:AI39,"u"))</f>
        <v/>
      </c>
      <c r="F39" s="39" t="inlineStr"/>
      <c r="G39" s="39" t="inlineStr"/>
      <c r="H39" s="39" t="inlineStr"/>
      <c r="I39" s="39" t="inlineStr"/>
      <c r="J39" s="40" t="inlineStr"/>
      <c r="K39" s="39" t="inlineStr"/>
      <c r="L39" s="39" t="inlineStr"/>
      <c r="M39" s="39" t="inlineStr"/>
      <c r="N39" s="39" t="inlineStr"/>
      <c r="O39" s="40" t="inlineStr"/>
      <c r="P39" s="39" t="inlineStr"/>
      <c r="Q39" s="39" t="inlineStr"/>
      <c r="R39" s="39" t="inlineStr"/>
      <c r="S39" s="39" t="inlineStr"/>
      <c r="T39" s="40" t="inlineStr"/>
      <c r="U39" s="39" t="inlineStr"/>
      <c r="V39" s="39" t="inlineStr"/>
      <c r="W39" s="39" t="inlineStr"/>
      <c r="X39" s="39" t="inlineStr"/>
      <c r="Y39" s="40" t="inlineStr"/>
      <c r="Z39" s="39" t="inlineStr"/>
      <c r="AA39" s="39" t="inlineStr"/>
      <c r="AB39" s="39" t="inlineStr"/>
      <c r="AC39" s="39" t="inlineStr"/>
      <c r="AD39" s="40" t="inlineStr"/>
      <c r="AE39" s="39" t="inlineStr"/>
      <c r="AF39" s="39" t="inlineStr"/>
      <c r="AG39" s="39" t="inlineStr"/>
      <c r="AH39" s="39" t="inlineStr"/>
      <c r="AI39" s="40" t="inlineStr"/>
    </row>
    <row r="40">
      <c r="A40" s="37" t="n">
        <v>35</v>
      </c>
      <c r="B40" s="31">
        <f>IF(INDEX(Klassenliste!$B$6:$B$40,35)=0,"",INDEX(Klassenliste!$B$6:$B$40,35))</f>
        <v/>
      </c>
      <c r="C40" s="31">
        <f>IF(INDEX(Klassenliste!$C$6:$C$40,35)=0,"",INDEX(Klassenliste!$C$6:$C$40,35))</f>
        <v/>
      </c>
      <c r="D40" s="19">
        <f>IF($B40="","",COUNTIF(F40:AI40,"e")+COUNTIF(F40:AI40,"u"))</f>
        <v/>
      </c>
      <c r="E40" s="38">
        <f>IF($B40="","",COUNTIF(F40:AI40,"u"))</f>
        <v/>
      </c>
      <c r="F40" s="39" t="inlineStr"/>
      <c r="G40" s="39" t="inlineStr"/>
      <c r="H40" s="39" t="inlineStr"/>
      <c r="I40" s="39" t="inlineStr"/>
      <c r="J40" s="40" t="inlineStr"/>
      <c r="K40" s="39" t="inlineStr"/>
      <c r="L40" s="39" t="inlineStr"/>
      <c r="M40" s="39" t="inlineStr"/>
      <c r="N40" s="39" t="inlineStr"/>
      <c r="O40" s="40" t="inlineStr"/>
      <c r="P40" s="39" t="inlineStr"/>
      <c r="Q40" s="39" t="inlineStr"/>
      <c r="R40" s="39" t="inlineStr"/>
      <c r="S40" s="39" t="inlineStr"/>
      <c r="T40" s="40" t="inlineStr"/>
      <c r="U40" s="39" t="inlineStr"/>
      <c r="V40" s="39" t="inlineStr"/>
      <c r="W40" s="39" t="inlineStr"/>
      <c r="X40" s="39" t="inlineStr"/>
      <c r="Y40" s="40" t="inlineStr"/>
      <c r="Z40" s="39" t="inlineStr"/>
      <c r="AA40" s="39" t="inlineStr"/>
      <c r="AB40" s="39" t="inlineStr"/>
      <c r="AC40" s="39" t="inlineStr"/>
      <c r="AD40" s="40" t="inlineStr"/>
      <c r="AE40" s="39" t="inlineStr"/>
      <c r="AF40" s="39" t="inlineStr"/>
      <c r="AG40" s="39" t="inlineStr"/>
      <c r="AH40" s="39" t="inlineStr"/>
      <c r="AI40" s="40" t="inlineStr"/>
    </row>
  </sheetData>
  <sheetProtection selectLockedCells="0" selectUnlockedCells="0" sheet="1" objects="0" insertRows="1" insertHyperlinks="1" autoFilter="1" scenarios="0" formatColumns="0" deleteColumns="1" insertColumns="0" pivotTables="1" deleteRows="1" formatCells="1" formatRows="0" sort="1"/>
  <mergeCells count="1">
    <mergeCell ref="A1:AH1"/>
  </mergeCells>
  <conditionalFormatting sqref="A6:AI40">
    <cfRule type="expression" priority="1" dxfId="1" stopIfTrue="1">
      <formula>$B6=""</formula>
    </cfRule>
  </conditionalFormatting>
  <conditionalFormatting sqref="F4:AI4">
    <cfRule type="expression" priority="2" dxfId="4">
      <formula>F$4=TODAY()</formula>
    </cfRule>
  </conditionalFormatting>
  <conditionalFormatting sqref="E6:E40">
    <cfRule type="expression" priority="3" dxfId="2">
      <formula>AND(ISNUMBER(E6),E6&gt;0)</formula>
    </cfRule>
  </conditionalFormatting>
  <dataValidations count="1">
    <dataValidation sqref="F6:AI40" showDropDown="0" showInputMessage="0" showErrorMessage="0" allowBlank="1" type="list">
      <formula1>"e,u"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tabColor rgb="006E8FA0"/>
    <outlinePr summaryBelow="1" summaryRight="1"/>
    <pageSetUpPr fitToPage="1"/>
  </sheetPr>
  <dimension ref="A1:AJ40"/>
  <sheetViews>
    <sheetView showGridLines="0" zoomScale="10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5" customWidth="1" min="4" max="4"/>
    <col width="5" customWidth="1" min="5" max="5"/>
    <col width="5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6.2" customWidth="1" min="32" max="32"/>
    <col width="6.2" customWidth="1" min="33" max="33"/>
    <col width="6.2" customWidth="1" min="34" max="34"/>
    <col width="6.2" customWidth="1" min="35" max="35"/>
    <col width="6.2" customWidth="1" min="36" max="36"/>
  </cols>
  <sheetData>
    <row r="1" ht="26" customHeight="1">
      <c r="A1" s="1" t="inlineStr">
        <is>
          <t>Material &amp; Lernzeit 2. Halbjahr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8">
        <f>HYPERLINK("#Start!A1","⌂")</f>
        <v/>
      </c>
    </row>
    <row r="2" ht="14" customHeight="1">
      <c r="B2" s="12" t="inlineStr">
        <is>
          <t>M = Material vergessen · L = Lernzeit/HA fehlt · i = iPad fehlt/ungeladen — kombinierbar (z. B. MLi) · mehrere Schüler: Zellen markieren, Kürzel tippen, Strg+Enter</t>
        </is>
      </c>
    </row>
    <row r="4" ht="15" customHeight="1">
      <c r="F4" s="32" t="inlineStr">
        <is>
          <t>Datum →</t>
        </is>
      </c>
      <c r="G4" s="33" t="inlineStr"/>
      <c r="H4" s="33" t="inlineStr"/>
      <c r="I4" s="33" t="inlineStr"/>
      <c r="J4" s="33" t="inlineStr"/>
      <c r="K4" s="34" t="inlineStr"/>
      <c r="L4" s="33" t="inlineStr"/>
      <c r="M4" s="33" t="inlineStr"/>
      <c r="N4" s="33" t="inlineStr"/>
      <c r="O4" s="33" t="inlineStr"/>
      <c r="P4" s="34" t="inlineStr"/>
      <c r="Q4" s="33" t="inlineStr"/>
      <c r="R4" s="33" t="inlineStr"/>
      <c r="S4" s="33" t="inlineStr"/>
      <c r="T4" s="33" t="inlineStr"/>
      <c r="U4" s="34" t="inlineStr"/>
      <c r="V4" s="33" t="inlineStr"/>
      <c r="W4" s="33" t="inlineStr"/>
      <c r="X4" s="33" t="inlineStr"/>
      <c r="Y4" s="33" t="inlineStr"/>
      <c r="Z4" s="34" t="inlineStr"/>
      <c r="AA4" s="33" t="inlineStr"/>
      <c r="AB4" s="33" t="inlineStr"/>
      <c r="AC4" s="33" t="inlineStr"/>
      <c r="AD4" s="33" t="inlineStr"/>
      <c r="AE4" s="34" t="inlineStr"/>
      <c r="AF4" s="33" t="inlineStr"/>
      <c r="AG4" s="33" t="inlineStr"/>
      <c r="AH4" s="33" t="inlineStr"/>
      <c r="AI4" s="33" t="inlineStr"/>
      <c r="AJ4" s="34" t="inlineStr"/>
    </row>
    <row r="5" ht="18" customHeight="1">
      <c r="A5" s="17" t="inlineStr">
        <is>
          <t>Nr</t>
        </is>
      </c>
      <c r="B5" s="18" t="inlineStr">
        <is>
          <t>Name</t>
        </is>
      </c>
      <c r="C5" s="18" t="inlineStr">
        <is>
          <t>Vorname</t>
        </is>
      </c>
      <c r="D5" s="17" t="inlineStr">
        <is>
          <t>M</t>
        </is>
      </c>
      <c r="E5" s="17" t="inlineStr">
        <is>
          <t>L</t>
        </is>
      </c>
      <c r="F5" s="35" t="inlineStr">
        <is>
          <t>iP</t>
        </is>
      </c>
      <c r="K5" s="36" t="n"/>
      <c r="P5" s="36" t="n"/>
      <c r="U5" s="36" t="n"/>
      <c r="Z5" s="36" t="n"/>
      <c r="AE5" s="36" t="n"/>
      <c r="AJ5" s="36" t="n"/>
    </row>
    <row r="6">
      <c r="A6" s="37" t="n">
        <v>1</v>
      </c>
      <c r="B6" s="31">
        <f>IF(INDEX(Klassenliste!$B$6:$B$40,1)=0,"",INDEX(Klassenliste!$B$6:$B$40,1))</f>
        <v/>
      </c>
      <c r="C6" s="31">
        <f>IF(INDEX(Klassenliste!$C$6:$C$40,1)=0,"",INDEX(Klassenliste!$C$6:$C$40,1))</f>
        <v/>
      </c>
      <c r="D6" s="19">
        <f>IF($B6="","",COUNTIF(G6:AJ6,"*M*"))</f>
        <v/>
      </c>
      <c r="E6" s="19">
        <f>IF($B6="","",COUNTIF(G6:AJ6,"*L*"))</f>
        <v/>
      </c>
      <c r="F6" s="38">
        <f>IF($B6="","",COUNTIF(G6:AJ6,"*i*"))</f>
        <v/>
      </c>
      <c r="G6" s="39" t="inlineStr"/>
      <c r="H6" s="39" t="inlineStr"/>
      <c r="I6" s="39" t="inlineStr"/>
      <c r="J6" s="39" t="inlineStr"/>
      <c r="K6" s="40" t="inlineStr"/>
      <c r="L6" s="39" t="inlineStr"/>
      <c r="M6" s="39" t="inlineStr"/>
      <c r="N6" s="39" t="inlineStr"/>
      <c r="O6" s="39" t="inlineStr"/>
      <c r="P6" s="40" t="inlineStr"/>
      <c r="Q6" s="39" t="inlineStr"/>
      <c r="R6" s="39" t="inlineStr"/>
      <c r="S6" s="39" t="inlineStr"/>
      <c r="T6" s="39" t="inlineStr"/>
      <c r="U6" s="40" t="inlineStr"/>
      <c r="V6" s="39" t="inlineStr"/>
      <c r="W6" s="39" t="inlineStr"/>
      <c r="X6" s="39" t="inlineStr"/>
      <c r="Y6" s="39" t="inlineStr"/>
      <c r="Z6" s="40" t="inlineStr"/>
      <c r="AA6" s="39" t="inlineStr"/>
      <c r="AB6" s="39" t="inlineStr"/>
      <c r="AC6" s="39" t="inlineStr"/>
      <c r="AD6" s="39" t="inlineStr"/>
      <c r="AE6" s="40" t="inlineStr"/>
      <c r="AF6" s="39" t="inlineStr"/>
      <c r="AG6" s="39" t="inlineStr"/>
      <c r="AH6" s="39" t="inlineStr"/>
      <c r="AI6" s="39" t="inlineStr"/>
      <c r="AJ6" s="40" t="inlineStr"/>
    </row>
    <row r="7">
      <c r="A7" s="37" t="n">
        <v>2</v>
      </c>
      <c r="B7" s="31">
        <f>IF(INDEX(Klassenliste!$B$6:$B$40,2)=0,"",INDEX(Klassenliste!$B$6:$B$40,2))</f>
        <v/>
      </c>
      <c r="C7" s="31">
        <f>IF(INDEX(Klassenliste!$C$6:$C$40,2)=0,"",INDEX(Klassenliste!$C$6:$C$40,2))</f>
        <v/>
      </c>
      <c r="D7" s="19">
        <f>IF($B7="","",COUNTIF(G7:AJ7,"*M*"))</f>
        <v/>
      </c>
      <c r="E7" s="19">
        <f>IF($B7="","",COUNTIF(G7:AJ7,"*L*"))</f>
        <v/>
      </c>
      <c r="F7" s="38">
        <f>IF($B7="","",COUNTIF(G7:AJ7,"*i*"))</f>
        <v/>
      </c>
      <c r="G7" s="39" t="inlineStr"/>
      <c r="H7" s="39" t="inlineStr"/>
      <c r="I7" s="39" t="inlineStr"/>
      <c r="J7" s="39" t="inlineStr"/>
      <c r="K7" s="40" t="inlineStr"/>
      <c r="L7" s="39" t="inlineStr"/>
      <c r="M7" s="39" t="inlineStr"/>
      <c r="N7" s="39" t="inlineStr"/>
      <c r="O7" s="39" t="inlineStr"/>
      <c r="P7" s="40" t="inlineStr"/>
      <c r="Q7" s="39" t="inlineStr"/>
      <c r="R7" s="39" t="inlineStr"/>
      <c r="S7" s="39" t="inlineStr"/>
      <c r="T7" s="39" t="inlineStr"/>
      <c r="U7" s="40" t="inlineStr"/>
      <c r="V7" s="39" t="inlineStr"/>
      <c r="W7" s="39" t="inlineStr"/>
      <c r="X7" s="39" t="inlineStr"/>
      <c r="Y7" s="39" t="inlineStr"/>
      <c r="Z7" s="40" t="inlineStr"/>
      <c r="AA7" s="39" t="inlineStr"/>
      <c r="AB7" s="39" t="inlineStr"/>
      <c r="AC7" s="39" t="inlineStr"/>
      <c r="AD7" s="39" t="inlineStr"/>
      <c r="AE7" s="40" t="inlineStr"/>
      <c r="AF7" s="39" t="inlineStr"/>
      <c r="AG7" s="39" t="inlineStr"/>
      <c r="AH7" s="39" t="inlineStr"/>
      <c r="AI7" s="39" t="inlineStr"/>
      <c r="AJ7" s="40" t="inlineStr"/>
    </row>
    <row r="8">
      <c r="A8" s="37" t="n">
        <v>3</v>
      </c>
      <c r="B8" s="31">
        <f>IF(INDEX(Klassenliste!$B$6:$B$40,3)=0,"",INDEX(Klassenliste!$B$6:$B$40,3))</f>
        <v/>
      </c>
      <c r="C8" s="31">
        <f>IF(INDEX(Klassenliste!$C$6:$C$40,3)=0,"",INDEX(Klassenliste!$C$6:$C$40,3))</f>
        <v/>
      </c>
      <c r="D8" s="19">
        <f>IF($B8="","",COUNTIF(G8:AJ8,"*M*"))</f>
        <v/>
      </c>
      <c r="E8" s="19">
        <f>IF($B8="","",COUNTIF(G8:AJ8,"*L*"))</f>
        <v/>
      </c>
      <c r="F8" s="38">
        <f>IF($B8="","",COUNTIF(G8:AJ8,"*i*"))</f>
        <v/>
      </c>
      <c r="G8" s="39" t="inlineStr"/>
      <c r="H8" s="39" t="inlineStr"/>
      <c r="I8" s="39" t="inlineStr"/>
      <c r="J8" s="39" t="inlineStr"/>
      <c r="K8" s="40" t="inlineStr"/>
      <c r="L8" s="39" t="inlineStr"/>
      <c r="M8" s="39" t="inlineStr"/>
      <c r="N8" s="39" t="inlineStr"/>
      <c r="O8" s="39" t="inlineStr"/>
      <c r="P8" s="40" t="inlineStr"/>
      <c r="Q8" s="39" t="inlineStr"/>
      <c r="R8" s="39" t="inlineStr"/>
      <c r="S8" s="39" t="inlineStr"/>
      <c r="T8" s="39" t="inlineStr"/>
      <c r="U8" s="40" t="inlineStr"/>
      <c r="V8" s="39" t="inlineStr"/>
      <c r="W8" s="39" t="inlineStr"/>
      <c r="X8" s="39" t="inlineStr"/>
      <c r="Y8" s="39" t="inlineStr"/>
      <c r="Z8" s="40" t="inlineStr"/>
      <c r="AA8" s="39" t="inlineStr"/>
      <c r="AB8" s="39" t="inlineStr"/>
      <c r="AC8" s="39" t="inlineStr"/>
      <c r="AD8" s="39" t="inlineStr"/>
      <c r="AE8" s="40" t="inlineStr"/>
      <c r="AF8" s="39" t="inlineStr"/>
      <c r="AG8" s="39" t="inlineStr"/>
      <c r="AH8" s="39" t="inlineStr"/>
      <c r="AI8" s="39" t="inlineStr"/>
      <c r="AJ8" s="40" t="inlineStr"/>
    </row>
    <row r="9">
      <c r="A9" s="37" t="n">
        <v>4</v>
      </c>
      <c r="B9" s="31">
        <f>IF(INDEX(Klassenliste!$B$6:$B$40,4)=0,"",INDEX(Klassenliste!$B$6:$B$40,4))</f>
        <v/>
      </c>
      <c r="C9" s="31">
        <f>IF(INDEX(Klassenliste!$C$6:$C$40,4)=0,"",INDEX(Klassenliste!$C$6:$C$40,4))</f>
        <v/>
      </c>
      <c r="D9" s="19">
        <f>IF($B9="","",COUNTIF(G9:AJ9,"*M*"))</f>
        <v/>
      </c>
      <c r="E9" s="19">
        <f>IF($B9="","",COUNTIF(G9:AJ9,"*L*"))</f>
        <v/>
      </c>
      <c r="F9" s="38">
        <f>IF($B9="","",COUNTIF(G9:AJ9,"*i*"))</f>
        <v/>
      </c>
      <c r="G9" s="39" t="inlineStr"/>
      <c r="H9" s="39" t="inlineStr"/>
      <c r="I9" s="39" t="inlineStr"/>
      <c r="J9" s="39" t="inlineStr"/>
      <c r="K9" s="40" t="inlineStr"/>
      <c r="L9" s="39" t="inlineStr"/>
      <c r="M9" s="39" t="inlineStr"/>
      <c r="N9" s="39" t="inlineStr"/>
      <c r="O9" s="39" t="inlineStr"/>
      <c r="P9" s="40" t="inlineStr"/>
      <c r="Q9" s="39" t="inlineStr"/>
      <c r="R9" s="39" t="inlineStr"/>
      <c r="S9" s="39" t="inlineStr"/>
      <c r="T9" s="39" t="inlineStr"/>
      <c r="U9" s="40" t="inlineStr"/>
      <c r="V9" s="39" t="inlineStr"/>
      <c r="W9" s="39" t="inlineStr"/>
      <c r="X9" s="39" t="inlineStr"/>
      <c r="Y9" s="39" t="inlineStr"/>
      <c r="Z9" s="40" t="inlineStr"/>
      <c r="AA9" s="39" t="inlineStr"/>
      <c r="AB9" s="39" t="inlineStr"/>
      <c r="AC9" s="39" t="inlineStr"/>
      <c r="AD9" s="39" t="inlineStr"/>
      <c r="AE9" s="40" t="inlineStr"/>
      <c r="AF9" s="39" t="inlineStr"/>
      <c r="AG9" s="39" t="inlineStr"/>
      <c r="AH9" s="39" t="inlineStr"/>
      <c r="AI9" s="39" t="inlineStr"/>
      <c r="AJ9" s="40" t="inlineStr"/>
    </row>
    <row r="10">
      <c r="A10" s="37" t="n">
        <v>5</v>
      </c>
      <c r="B10" s="31">
        <f>IF(INDEX(Klassenliste!$B$6:$B$40,5)=0,"",INDEX(Klassenliste!$B$6:$B$40,5))</f>
        <v/>
      </c>
      <c r="C10" s="31">
        <f>IF(INDEX(Klassenliste!$C$6:$C$40,5)=0,"",INDEX(Klassenliste!$C$6:$C$40,5))</f>
        <v/>
      </c>
      <c r="D10" s="19">
        <f>IF($B10="","",COUNTIF(G10:AJ10,"*M*"))</f>
        <v/>
      </c>
      <c r="E10" s="19">
        <f>IF($B10="","",COUNTIF(G10:AJ10,"*L*"))</f>
        <v/>
      </c>
      <c r="F10" s="38">
        <f>IF($B10="","",COUNTIF(G10:AJ10,"*i*"))</f>
        <v/>
      </c>
      <c r="G10" s="39" t="inlineStr"/>
      <c r="H10" s="39" t="inlineStr"/>
      <c r="I10" s="39" t="inlineStr"/>
      <c r="J10" s="39" t="inlineStr"/>
      <c r="K10" s="40" t="inlineStr"/>
      <c r="L10" s="39" t="inlineStr"/>
      <c r="M10" s="39" t="inlineStr"/>
      <c r="N10" s="39" t="inlineStr"/>
      <c r="O10" s="39" t="inlineStr"/>
      <c r="P10" s="40" t="inlineStr"/>
      <c r="Q10" s="39" t="inlineStr"/>
      <c r="R10" s="39" t="inlineStr"/>
      <c r="S10" s="39" t="inlineStr"/>
      <c r="T10" s="39" t="inlineStr"/>
      <c r="U10" s="40" t="inlineStr"/>
      <c r="V10" s="39" t="inlineStr"/>
      <c r="W10" s="39" t="inlineStr"/>
      <c r="X10" s="39" t="inlineStr"/>
      <c r="Y10" s="39" t="inlineStr"/>
      <c r="Z10" s="40" t="inlineStr"/>
      <c r="AA10" s="39" t="inlineStr"/>
      <c r="AB10" s="39" t="inlineStr"/>
      <c r="AC10" s="39" t="inlineStr"/>
      <c r="AD10" s="39" t="inlineStr"/>
      <c r="AE10" s="40" t="inlineStr"/>
      <c r="AF10" s="39" t="inlineStr"/>
      <c r="AG10" s="39" t="inlineStr"/>
      <c r="AH10" s="39" t="inlineStr"/>
      <c r="AI10" s="39" t="inlineStr"/>
      <c r="AJ10" s="40" t="inlineStr"/>
    </row>
    <row r="11">
      <c r="A11" s="37" t="n">
        <v>6</v>
      </c>
      <c r="B11" s="31">
        <f>IF(INDEX(Klassenliste!$B$6:$B$40,6)=0,"",INDEX(Klassenliste!$B$6:$B$40,6))</f>
        <v/>
      </c>
      <c r="C11" s="31">
        <f>IF(INDEX(Klassenliste!$C$6:$C$40,6)=0,"",INDEX(Klassenliste!$C$6:$C$40,6))</f>
        <v/>
      </c>
      <c r="D11" s="19">
        <f>IF($B11="","",COUNTIF(G11:AJ11,"*M*"))</f>
        <v/>
      </c>
      <c r="E11" s="19">
        <f>IF($B11="","",COUNTIF(G11:AJ11,"*L*"))</f>
        <v/>
      </c>
      <c r="F11" s="38">
        <f>IF($B11="","",COUNTIF(G11:AJ11,"*i*"))</f>
        <v/>
      </c>
      <c r="G11" s="39" t="inlineStr"/>
      <c r="H11" s="39" t="inlineStr"/>
      <c r="I11" s="39" t="inlineStr"/>
      <c r="J11" s="39" t="inlineStr"/>
      <c r="K11" s="40" t="inlineStr"/>
      <c r="L11" s="39" t="inlineStr"/>
      <c r="M11" s="39" t="inlineStr"/>
      <c r="N11" s="39" t="inlineStr"/>
      <c r="O11" s="39" t="inlineStr"/>
      <c r="P11" s="40" t="inlineStr"/>
      <c r="Q11" s="39" t="inlineStr"/>
      <c r="R11" s="39" t="inlineStr"/>
      <c r="S11" s="39" t="inlineStr"/>
      <c r="T11" s="39" t="inlineStr"/>
      <c r="U11" s="40" t="inlineStr"/>
      <c r="V11" s="39" t="inlineStr"/>
      <c r="W11" s="39" t="inlineStr"/>
      <c r="X11" s="39" t="inlineStr"/>
      <c r="Y11" s="39" t="inlineStr"/>
      <c r="Z11" s="40" t="inlineStr"/>
      <c r="AA11" s="39" t="inlineStr"/>
      <c r="AB11" s="39" t="inlineStr"/>
      <c r="AC11" s="39" t="inlineStr"/>
      <c r="AD11" s="39" t="inlineStr"/>
      <c r="AE11" s="40" t="inlineStr"/>
      <c r="AF11" s="39" t="inlineStr"/>
      <c r="AG11" s="39" t="inlineStr"/>
      <c r="AH11" s="39" t="inlineStr"/>
      <c r="AI11" s="39" t="inlineStr"/>
      <c r="AJ11" s="40" t="inlineStr"/>
    </row>
    <row r="12">
      <c r="A12" s="37" t="n">
        <v>7</v>
      </c>
      <c r="B12" s="31">
        <f>IF(INDEX(Klassenliste!$B$6:$B$40,7)=0,"",INDEX(Klassenliste!$B$6:$B$40,7))</f>
        <v/>
      </c>
      <c r="C12" s="31">
        <f>IF(INDEX(Klassenliste!$C$6:$C$40,7)=0,"",INDEX(Klassenliste!$C$6:$C$40,7))</f>
        <v/>
      </c>
      <c r="D12" s="19">
        <f>IF($B12="","",COUNTIF(G12:AJ12,"*M*"))</f>
        <v/>
      </c>
      <c r="E12" s="19">
        <f>IF($B12="","",COUNTIF(G12:AJ12,"*L*"))</f>
        <v/>
      </c>
      <c r="F12" s="38">
        <f>IF($B12="","",COUNTIF(G12:AJ12,"*i*"))</f>
        <v/>
      </c>
      <c r="G12" s="39" t="inlineStr"/>
      <c r="H12" s="39" t="inlineStr"/>
      <c r="I12" s="39" t="inlineStr"/>
      <c r="J12" s="39" t="inlineStr"/>
      <c r="K12" s="40" t="inlineStr"/>
      <c r="L12" s="39" t="inlineStr"/>
      <c r="M12" s="39" t="inlineStr"/>
      <c r="N12" s="39" t="inlineStr"/>
      <c r="O12" s="39" t="inlineStr"/>
      <c r="P12" s="40" t="inlineStr"/>
      <c r="Q12" s="39" t="inlineStr"/>
      <c r="R12" s="39" t="inlineStr"/>
      <c r="S12" s="39" t="inlineStr"/>
      <c r="T12" s="39" t="inlineStr"/>
      <c r="U12" s="40" t="inlineStr"/>
      <c r="V12" s="39" t="inlineStr"/>
      <c r="W12" s="39" t="inlineStr"/>
      <c r="X12" s="39" t="inlineStr"/>
      <c r="Y12" s="39" t="inlineStr"/>
      <c r="Z12" s="40" t="inlineStr"/>
      <c r="AA12" s="39" t="inlineStr"/>
      <c r="AB12" s="39" t="inlineStr"/>
      <c r="AC12" s="39" t="inlineStr"/>
      <c r="AD12" s="39" t="inlineStr"/>
      <c r="AE12" s="40" t="inlineStr"/>
      <c r="AF12" s="39" t="inlineStr"/>
      <c r="AG12" s="39" t="inlineStr"/>
      <c r="AH12" s="39" t="inlineStr"/>
      <c r="AI12" s="39" t="inlineStr"/>
      <c r="AJ12" s="40" t="inlineStr"/>
    </row>
    <row r="13">
      <c r="A13" s="37" t="n">
        <v>8</v>
      </c>
      <c r="B13" s="31">
        <f>IF(INDEX(Klassenliste!$B$6:$B$40,8)=0,"",INDEX(Klassenliste!$B$6:$B$40,8))</f>
        <v/>
      </c>
      <c r="C13" s="31">
        <f>IF(INDEX(Klassenliste!$C$6:$C$40,8)=0,"",INDEX(Klassenliste!$C$6:$C$40,8))</f>
        <v/>
      </c>
      <c r="D13" s="19">
        <f>IF($B13="","",COUNTIF(G13:AJ13,"*M*"))</f>
        <v/>
      </c>
      <c r="E13" s="19">
        <f>IF($B13="","",COUNTIF(G13:AJ13,"*L*"))</f>
        <v/>
      </c>
      <c r="F13" s="38">
        <f>IF($B13="","",COUNTIF(G13:AJ13,"*i*"))</f>
        <v/>
      </c>
      <c r="G13" s="39" t="inlineStr"/>
      <c r="H13" s="39" t="inlineStr"/>
      <c r="I13" s="39" t="inlineStr"/>
      <c r="J13" s="39" t="inlineStr"/>
      <c r="K13" s="40" t="inlineStr"/>
      <c r="L13" s="39" t="inlineStr"/>
      <c r="M13" s="39" t="inlineStr"/>
      <c r="N13" s="39" t="inlineStr"/>
      <c r="O13" s="39" t="inlineStr"/>
      <c r="P13" s="40" t="inlineStr"/>
      <c r="Q13" s="39" t="inlineStr"/>
      <c r="R13" s="39" t="inlineStr"/>
      <c r="S13" s="39" t="inlineStr"/>
      <c r="T13" s="39" t="inlineStr"/>
      <c r="U13" s="40" t="inlineStr"/>
      <c r="V13" s="39" t="inlineStr"/>
      <c r="W13" s="39" t="inlineStr"/>
      <c r="X13" s="39" t="inlineStr"/>
      <c r="Y13" s="39" t="inlineStr"/>
      <c r="Z13" s="40" t="inlineStr"/>
      <c r="AA13" s="39" t="inlineStr"/>
      <c r="AB13" s="39" t="inlineStr"/>
      <c r="AC13" s="39" t="inlineStr"/>
      <c r="AD13" s="39" t="inlineStr"/>
      <c r="AE13" s="40" t="inlineStr"/>
      <c r="AF13" s="39" t="inlineStr"/>
      <c r="AG13" s="39" t="inlineStr"/>
      <c r="AH13" s="39" t="inlineStr"/>
      <c r="AI13" s="39" t="inlineStr"/>
      <c r="AJ13" s="40" t="inlineStr"/>
    </row>
    <row r="14">
      <c r="A14" s="37" t="n">
        <v>9</v>
      </c>
      <c r="B14" s="31">
        <f>IF(INDEX(Klassenliste!$B$6:$B$40,9)=0,"",INDEX(Klassenliste!$B$6:$B$40,9))</f>
        <v/>
      </c>
      <c r="C14" s="31">
        <f>IF(INDEX(Klassenliste!$C$6:$C$40,9)=0,"",INDEX(Klassenliste!$C$6:$C$40,9))</f>
        <v/>
      </c>
      <c r="D14" s="19">
        <f>IF($B14="","",COUNTIF(G14:AJ14,"*M*"))</f>
        <v/>
      </c>
      <c r="E14" s="19">
        <f>IF($B14="","",COUNTIF(G14:AJ14,"*L*"))</f>
        <v/>
      </c>
      <c r="F14" s="38">
        <f>IF($B14="","",COUNTIF(G14:AJ14,"*i*"))</f>
        <v/>
      </c>
      <c r="G14" s="39" t="inlineStr"/>
      <c r="H14" s="39" t="inlineStr"/>
      <c r="I14" s="39" t="inlineStr"/>
      <c r="J14" s="39" t="inlineStr"/>
      <c r="K14" s="40" t="inlineStr"/>
      <c r="L14" s="39" t="inlineStr"/>
      <c r="M14" s="39" t="inlineStr"/>
      <c r="N14" s="39" t="inlineStr"/>
      <c r="O14" s="39" t="inlineStr"/>
      <c r="P14" s="40" t="inlineStr"/>
      <c r="Q14" s="39" t="inlineStr"/>
      <c r="R14" s="39" t="inlineStr"/>
      <c r="S14" s="39" t="inlineStr"/>
      <c r="T14" s="39" t="inlineStr"/>
      <c r="U14" s="40" t="inlineStr"/>
      <c r="V14" s="39" t="inlineStr"/>
      <c r="W14" s="39" t="inlineStr"/>
      <c r="X14" s="39" t="inlineStr"/>
      <c r="Y14" s="39" t="inlineStr"/>
      <c r="Z14" s="40" t="inlineStr"/>
      <c r="AA14" s="39" t="inlineStr"/>
      <c r="AB14" s="39" t="inlineStr"/>
      <c r="AC14" s="39" t="inlineStr"/>
      <c r="AD14" s="39" t="inlineStr"/>
      <c r="AE14" s="40" t="inlineStr"/>
      <c r="AF14" s="39" t="inlineStr"/>
      <c r="AG14" s="39" t="inlineStr"/>
      <c r="AH14" s="39" t="inlineStr"/>
      <c r="AI14" s="39" t="inlineStr"/>
      <c r="AJ14" s="40" t="inlineStr"/>
    </row>
    <row r="15">
      <c r="A15" s="37" t="n">
        <v>10</v>
      </c>
      <c r="B15" s="31">
        <f>IF(INDEX(Klassenliste!$B$6:$B$40,10)=0,"",INDEX(Klassenliste!$B$6:$B$40,10))</f>
        <v/>
      </c>
      <c r="C15" s="31">
        <f>IF(INDEX(Klassenliste!$C$6:$C$40,10)=0,"",INDEX(Klassenliste!$C$6:$C$40,10))</f>
        <v/>
      </c>
      <c r="D15" s="19">
        <f>IF($B15="","",COUNTIF(G15:AJ15,"*M*"))</f>
        <v/>
      </c>
      <c r="E15" s="19">
        <f>IF($B15="","",COUNTIF(G15:AJ15,"*L*"))</f>
        <v/>
      </c>
      <c r="F15" s="38">
        <f>IF($B15="","",COUNTIF(G15:AJ15,"*i*"))</f>
        <v/>
      </c>
      <c r="G15" s="39" t="inlineStr"/>
      <c r="H15" s="39" t="inlineStr"/>
      <c r="I15" s="39" t="inlineStr"/>
      <c r="J15" s="39" t="inlineStr"/>
      <c r="K15" s="40" t="inlineStr"/>
      <c r="L15" s="39" t="inlineStr"/>
      <c r="M15" s="39" t="inlineStr"/>
      <c r="N15" s="39" t="inlineStr"/>
      <c r="O15" s="39" t="inlineStr"/>
      <c r="P15" s="40" t="inlineStr"/>
      <c r="Q15" s="39" t="inlineStr"/>
      <c r="R15" s="39" t="inlineStr"/>
      <c r="S15" s="39" t="inlineStr"/>
      <c r="T15" s="39" t="inlineStr"/>
      <c r="U15" s="40" t="inlineStr"/>
      <c r="V15" s="39" t="inlineStr"/>
      <c r="W15" s="39" t="inlineStr"/>
      <c r="X15" s="39" t="inlineStr"/>
      <c r="Y15" s="39" t="inlineStr"/>
      <c r="Z15" s="40" t="inlineStr"/>
      <c r="AA15" s="39" t="inlineStr"/>
      <c r="AB15" s="39" t="inlineStr"/>
      <c r="AC15" s="39" t="inlineStr"/>
      <c r="AD15" s="39" t="inlineStr"/>
      <c r="AE15" s="40" t="inlineStr"/>
      <c r="AF15" s="39" t="inlineStr"/>
      <c r="AG15" s="39" t="inlineStr"/>
      <c r="AH15" s="39" t="inlineStr"/>
      <c r="AI15" s="39" t="inlineStr"/>
      <c r="AJ15" s="40" t="inlineStr"/>
    </row>
    <row r="16">
      <c r="A16" s="37" t="n">
        <v>11</v>
      </c>
      <c r="B16" s="31">
        <f>IF(INDEX(Klassenliste!$B$6:$B$40,11)=0,"",INDEX(Klassenliste!$B$6:$B$40,11))</f>
        <v/>
      </c>
      <c r="C16" s="31">
        <f>IF(INDEX(Klassenliste!$C$6:$C$40,11)=0,"",INDEX(Klassenliste!$C$6:$C$40,11))</f>
        <v/>
      </c>
      <c r="D16" s="19">
        <f>IF($B16="","",COUNTIF(G16:AJ16,"*M*"))</f>
        <v/>
      </c>
      <c r="E16" s="19">
        <f>IF($B16="","",COUNTIF(G16:AJ16,"*L*"))</f>
        <v/>
      </c>
      <c r="F16" s="38">
        <f>IF($B16="","",COUNTIF(G16:AJ16,"*i*"))</f>
        <v/>
      </c>
      <c r="G16" s="39" t="inlineStr"/>
      <c r="H16" s="39" t="inlineStr"/>
      <c r="I16" s="39" t="inlineStr"/>
      <c r="J16" s="39" t="inlineStr"/>
      <c r="K16" s="40" t="inlineStr"/>
      <c r="L16" s="39" t="inlineStr"/>
      <c r="M16" s="39" t="inlineStr"/>
      <c r="N16" s="39" t="inlineStr"/>
      <c r="O16" s="39" t="inlineStr"/>
      <c r="P16" s="40" t="inlineStr"/>
      <c r="Q16" s="39" t="inlineStr"/>
      <c r="R16" s="39" t="inlineStr"/>
      <c r="S16" s="39" t="inlineStr"/>
      <c r="T16" s="39" t="inlineStr"/>
      <c r="U16" s="40" t="inlineStr"/>
      <c r="V16" s="39" t="inlineStr"/>
      <c r="W16" s="39" t="inlineStr"/>
      <c r="X16" s="39" t="inlineStr"/>
      <c r="Y16" s="39" t="inlineStr"/>
      <c r="Z16" s="40" t="inlineStr"/>
      <c r="AA16" s="39" t="inlineStr"/>
      <c r="AB16" s="39" t="inlineStr"/>
      <c r="AC16" s="39" t="inlineStr"/>
      <c r="AD16" s="39" t="inlineStr"/>
      <c r="AE16" s="40" t="inlineStr"/>
      <c r="AF16" s="39" t="inlineStr"/>
      <c r="AG16" s="39" t="inlineStr"/>
      <c r="AH16" s="39" t="inlineStr"/>
      <c r="AI16" s="39" t="inlineStr"/>
      <c r="AJ16" s="40" t="inlineStr"/>
    </row>
    <row r="17">
      <c r="A17" s="37" t="n">
        <v>12</v>
      </c>
      <c r="B17" s="31">
        <f>IF(INDEX(Klassenliste!$B$6:$B$40,12)=0,"",INDEX(Klassenliste!$B$6:$B$40,12))</f>
        <v/>
      </c>
      <c r="C17" s="31">
        <f>IF(INDEX(Klassenliste!$C$6:$C$40,12)=0,"",INDEX(Klassenliste!$C$6:$C$40,12))</f>
        <v/>
      </c>
      <c r="D17" s="19">
        <f>IF($B17="","",COUNTIF(G17:AJ17,"*M*"))</f>
        <v/>
      </c>
      <c r="E17" s="19">
        <f>IF($B17="","",COUNTIF(G17:AJ17,"*L*"))</f>
        <v/>
      </c>
      <c r="F17" s="38">
        <f>IF($B17="","",COUNTIF(G17:AJ17,"*i*"))</f>
        <v/>
      </c>
      <c r="G17" s="39" t="inlineStr"/>
      <c r="H17" s="39" t="inlineStr"/>
      <c r="I17" s="39" t="inlineStr"/>
      <c r="J17" s="39" t="inlineStr"/>
      <c r="K17" s="40" t="inlineStr"/>
      <c r="L17" s="39" t="inlineStr"/>
      <c r="M17" s="39" t="inlineStr"/>
      <c r="N17" s="39" t="inlineStr"/>
      <c r="O17" s="39" t="inlineStr"/>
      <c r="P17" s="40" t="inlineStr"/>
      <c r="Q17" s="39" t="inlineStr"/>
      <c r="R17" s="39" t="inlineStr"/>
      <c r="S17" s="39" t="inlineStr"/>
      <c r="T17" s="39" t="inlineStr"/>
      <c r="U17" s="40" t="inlineStr"/>
      <c r="V17" s="39" t="inlineStr"/>
      <c r="W17" s="39" t="inlineStr"/>
      <c r="X17" s="39" t="inlineStr"/>
      <c r="Y17" s="39" t="inlineStr"/>
      <c r="Z17" s="40" t="inlineStr"/>
      <c r="AA17" s="39" t="inlineStr"/>
      <c r="AB17" s="39" t="inlineStr"/>
      <c r="AC17" s="39" t="inlineStr"/>
      <c r="AD17" s="39" t="inlineStr"/>
      <c r="AE17" s="40" t="inlineStr"/>
      <c r="AF17" s="39" t="inlineStr"/>
      <c r="AG17" s="39" t="inlineStr"/>
      <c r="AH17" s="39" t="inlineStr"/>
      <c r="AI17" s="39" t="inlineStr"/>
      <c r="AJ17" s="40" t="inlineStr"/>
    </row>
    <row r="18">
      <c r="A18" s="37" t="n">
        <v>13</v>
      </c>
      <c r="B18" s="31">
        <f>IF(INDEX(Klassenliste!$B$6:$B$40,13)=0,"",INDEX(Klassenliste!$B$6:$B$40,13))</f>
        <v/>
      </c>
      <c r="C18" s="31">
        <f>IF(INDEX(Klassenliste!$C$6:$C$40,13)=0,"",INDEX(Klassenliste!$C$6:$C$40,13))</f>
        <v/>
      </c>
      <c r="D18" s="19">
        <f>IF($B18="","",COUNTIF(G18:AJ18,"*M*"))</f>
        <v/>
      </c>
      <c r="E18" s="19">
        <f>IF($B18="","",COUNTIF(G18:AJ18,"*L*"))</f>
        <v/>
      </c>
      <c r="F18" s="38">
        <f>IF($B18="","",COUNTIF(G18:AJ18,"*i*"))</f>
        <v/>
      </c>
      <c r="G18" s="39" t="inlineStr"/>
      <c r="H18" s="39" t="inlineStr"/>
      <c r="I18" s="39" t="inlineStr"/>
      <c r="J18" s="39" t="inlineStr"/>
      <c r="K18" s="40" t="inlineStr"/>
      <c r="L18" s="39" t="inlineStr"/>
      <c r="M18" s="39" t="inlineStr"/>
      <c r="N18" s="39" t="inlineStr"/>
      <c r="O18" s="39" t="inlineStr"/>
      <c r="P18" s="40" t="inlineStr"/>
      <c r="Q18" s="39" t="inlineStr"/>
      <c r="R18" s="39" t="inlineStr"/>
      <c r="S18" s="39" t="inlineStr"/>
      <c r="T18" s="39" t="inlineStr"/>
      <c r="U18" s="40" t="inlineStr"/>
      <c r="V18" s="39" t="inlineStr"/>
      <c r="W18" s="39" t="inlineStr"/>
      <c r="X18" s="39" t="inlineStr"/>
      <c r="Y18" s="39" t="inlineStr"/>
      <c r="Z18" s="40" t="inlineStr"/>
      <c r="AA18" s="39" t="inlineStr"/>
      <c r="AB18" s="39" t="inlineStr"/>
      <c r="AC18" s="39" t="inlineStr"/>
      <c r="AD18" s="39" t="inlineStr"/>
      <c r="AE18" s="40" t="inlineStr"/>
      <c r="AF18" s="39" t="inlineStr"/>
      <c r="AG18" s="39" t="inlineStr"/>
      <c r="AH18" s="39" t="inlineStr"/>
      <c r="AI18" s="39" t="inlineStr"/>
      <c r="AJ18" s="40" t="inlineStr"/>
    </row>
    <row r="19">
      <c r="A19" s="37" t="n">
        <v>14</v>
      </c>
      <c r="B19" s="31">
        <f>IF(INDEX(Klassenliste!$B$6:$B$40,14)=0,"",INDEX(Klassenliste!$B$6:$B$40,14))</f>
        <v/>
      </c>
      <c r="C19" s="31">
        <f>IF(INDEX(Klassenliste!$C$6:$C$40,14)=0,"",INDEX(Klassenliste!$C$6:$C$40,14))</f>
        <v/>
      </c>
      <c r="D19" s="19">
        <f>IF($B19="","",COUNTIF(G19:AJ19,"*M*"))</f>
        <v/>
      </c>
      <c r="E19" s="19">
        <f>IF($B19="","",COUNTIF(G19:AJ19,"*L*"))</f>
        <v/>
      </c>
      <c r="F19" s="38">
        <f>IF($B19="","",COUNTIF(G19:AJ19,"*i*"))</f>
        <v/>
      </c>
      <c r="G19" s="39" t="inlineStr"/>
      <c r="H19" s="39" t="inlineStr"/>
      <c r="I19" s="39" t="inlineStr"/>
      <c r="J19" s="39" t="inlineStr"/>
      <c r="K19" s="40" t="inlineStr"/>
      <c r="L19" s="39" t="inlineStr"/>
      <c r="M19" s="39" t="inlineStr"/>
      <c r="N19" s="39" t="inlineStr"/>
      <c r="O19" s="39" t="inlineStr"/>
      <c r="P19" s="40" t="inlineStr"/>
      <c r="Q19" s="39" t="inlineStr"/>
      <c r="R19" s="39" t="inlineStr"/>
      <c r="S19" s="39" t="inlineStr"/>
      <c r="T19" s="39" t="inlineStr"/>
      <c r="U19" s="40" t="inlineStr"/>
      <c r="V19" s="39" t="inlineStr"/>
      <c r="W19" s="39" t="inlineStr"/>
      <c r="X19" s="39" t="inlineStr"/>
      <c r="Y19" s="39" t="inlineStr"/>
      <c r="Z19" s="40" t="inlineStr"/>
      <c r="AA19" s="39" t="inlineStr"/>
      <c r="AB19" s="39" t="inlineStr"/>
      <c r="AC19" s="39" t="inlineStr"/>
      <c r="AD19" s="39" t="inlineStr"/>
      <c r="AE19" s="40" t="inlineStr"/>
      <c r="AF19" s="39" t="inlineStr"/>
      <c r="AG19" s="39" t="inlineStr"/>
      <c r="AH19" s="39" t="inlineStr"/>
      <c r="AI19" s="39" t="inlineStr"/>
      <c r="AJ19" s="40" t="inlineStr"/>
    </row>
    <row r="20">
      <c r="A20" s="37" t="n">
        <v>15</v>
      </c>
      <c r="B20" s="31">
        <f>IF(INDEX(Klassenliste!$B$6:$B$40,15)=0,"",INDEX(Klassenliste!$B$6:$B$40,15))</f>
        <v/>
      </c>
      <c r="C20" s="31">
        <f>IF(INDEX(Klassenliste!$C$6:$C$40,15)=0,"",INDEX(Klassenliste!$C$6:$C$40,15))</f>
        <v/>
      </c>
      <c r="D20" s="19">
        <f>IF($B20="","",COUNTIF(G20:AJ20,"*M*"))</f>
        <v/>
      </c>
      <c r="E20" s="19">
        <f>IF($B20="","",COUNTIF(G20:AJ20,"*L*"))</f>
        <v/>
      </c>
      <c r="F20" s="38">
        <f>IF($B20="","",COUNTIF(G20:AJ20,"*i*"))</f>
        <v/>
      </c>
      <c r="G20" s="39" t="inlineStr"/>
      <c r="H20" s="39" t="inlineStr"/>
      <c r="I20" s="39" t="inlineStr"/>
      <c r="J20" s="39" t="inlineStr"/>
      <c r="K20" s="40" t="inlineStr"/>
      <c r="L20" s="39" t="inlineStr"/>
      <c r="M20" s="39" t="inlineStr"/>
      <c r="N20" s="39" t="inlineStr"/>
      <c r="O20" s="39" t="inlineStr"/>
      <c r="P20" s="40" t="inlineStr"/>
      <c r="Q20" s="39" t="inlineStr"/>
      <c r="R20" s="39" t="inlineStr"/>
      <c r="S20" s="39" t="inlineStr"/>
      <c r="T20" s="39" t="inlineStr"/>
      <c r="U20" s="40" t="inlineStr"/>
      <c r="V20" s="39" t="inlineStr"/>
      <c r="W20" s="39" t="inlineStr"/>
      <c r="X20" s="39" t="inlineStr"/>
      <c r="Y20" s="39" t="inlineStr"/>
      <c r="Z20" s="40" t="inlineStr"/>
      <c r="AA20" s="39" t="inlineStr"/>
      <c r="AB20" s="39" t="inlineStr"/>
      <c r="AC20" s="39" t="inlineStr"/>
      <c r="AD20" s="39" t="inlineStr"/>
      <c r="AE20" s="40" t="inlineStr"/>
      <c r="AF20" s="39" t="inlineStr"/>
      <c r="AG20" s="39" t="inlineStr"/>
      <c r="AH20" s="39" t="inlineStr"/>
      <c r="AI20" s="39" t="inlineStr"/>
      <c r="AJ20" s="40" t="inlineStr"/>
    </row>
    <row r="21">
      <c r="A21" s="37" t="n">
        <v>16</v>
      </c>
      <c r="B21" s="31">
        <f>IF(INDEX(Klassenliste!$B$6:$B$40,16)=0,"",INDEX(Klassenliste!$B$6:$B$40,16))</f>
        <v/>
      </c>
      <c r="C21" s="31">
        <f>IF(INDEX(Klassenliste!$C$6:$C$40,16)=0,"",INDEX(Klassenliste!$C$6:$C$40,16))</f>
        <v/>
      </c>
      <c r="D21" s="19">
        <f>IF($B21="","",COUNTIF(G21:AJ21,"*M*"))</f>
        <v/>
      </c>
      <c r="E21" s="19">
        <f>IF($B21="","",COUNTIF(G21:AJ21,"*L*"))</f>
        <v/>
      </c>
      <c r="F21" s="38">
        <f>IF($B21="","",COUNTIF(G21:AJ21,"*i*"))</f>
        <v/>
      </c>
      <c r="G21" s="39" t="inlineStr"/>
      <c r="H21" s="39" t="inlineStr"/>
      <c r="I21" s="39" t="inlineStr"/>
      <c r="J21" s="39" t="inlineStr"/>
      <c r="K21" s="40" t="inlineStr"/>
      <c r="L21" s="39" t="inlineStr"/>
      <c r="M21" s="39" t="inlineStr"/>
      <c r="N21" s="39" t="inlineStr"/>
      <c r="O21" s="39" t="inlineStr"/>
      <c r="P21" s="40" t="inlineStr"/>
      <c r="Q21" s="39" t="inlineStr"/>
      <c r="R21" s="39" t="inlineStr"/>
      <c r="S21" s="39" t="inlineStr"/>
      <c r="T21" s="39" t="inlineStr"/>
      <c r="U21" s="40" t="inlineStr"/>
      <c r="V21" s="39" t="inlineStr"/>
      <c r="W21" s="39" t="inlineStr"/>
      <c r="X21" s="39" t="inlineStr"/>
      <c r="Y21" s="39" t="inlineStr"/>
      <c r="Z21" s="40" t="inlineStr"/>
      <c r="AA21" s="39" t="inlineStr"/>
      <c r="AB21" s="39" t="inlineStr"/>
      <c r="AC21" s="39" t="inlineStr"/>
      <c r="AD21" s="39" t="inlineStr"/>
      <c r="AE21" s="40" t="inlineStr"/>
      <c r="AF21" s="39" t="inlineStr"/>
      <c r="AG21" s="39" t="inlineStr"/>
      <c r="AH21" s="39" t="inlineStr"/>
      <c r="AI21" s="39" t="inlineStr"/>
      <c r="AJ21" s="40" t="inlineStr"/>
    </row>
    <row r="22">
      <c r="A22" s="37" t="n">
        <v>17</v>
      </c>
      <c r="B22" s="31">
        <f>IF(INDEX(Klassenliste!$B$6:$B$40,17)=0,"",INDEX(Klassenliste!$B$6:$B$40,17))</f>
        <v/>
      </c>
      <c r="C22" s="31">
        <f>IF(INDEX(Klassenliste!$C$6:$C$40,17)=0,"",INDEX(Klassenliste!$C$6:$C$40,17))</f>
        <v/>
      </c>
      <c r="D22" s="19">
        <f>IF($B22="","",COUNTIF(G22:AJ22,"*M*"))</f>
        <v/>
      </c>
      <c r="E22" s="19">
        <f>IF($B22="","",COUNTIF(G22:AJ22,"*L*"))</f>
        <v/>
      </c>
      <c r="F22" s="38">
        <f>IF($B22="","",COUNTIF(G22:AJ22,"*i*"))</f>
        <v/>
      </c>
      <c r="G22" s="39" t="inlineStr"/>
      <c r="H22" s="39" t="inlineStr"/>
      <c r="I22" s="39" t="inlineStr"/>
      <c r="J22" s="39" t="inlineStr"/>
      <c r="K22" s="40" t="inlineStr"/>
      <c r="L22" s="39" t="inlineStr"/>
      <c r="M22" s="39" t="inlineStr"/>
      <c r="N22" s="39" t="inlineStr"/>
      <c r="O22" s="39" t="inlineStr"/>
      <c r="P22" s="40" t="inlineStr"/>
      <c r="Q22" s="39" t="inlineStr"/>
      <c r="R22" s="39" t="inlineStr"/>
      <c r="S22" s="39" t="inlineStr"/>
      <c r="T22" s="39" t="inlineStr"/>
      <c r="U22" s="40" t="inlineStr"/>
      <c r="V22" s="39" t="inlineStr"/>
      <c r="W22" s="39" t="inlineStr"/>
      <c r="X22" s="39" t="inlineStr"/>
      <c r="Y22" s="39" t="inlineStr"/>
      <c r="Z22" s="40" t="inlineStr"/>
      <c r="AA22" s="39" t="inlineStr"/>
      <c r="AB22" s="39" t="inlineStr"/>
      <c r="AC22" s="39" t="inlineStr"/>
      <c r="AD22" s="39" t="inlineStr"/>
      <c r="AE22" s="40" t="inlineStr"/>
      <c r="AF22" s="39" t="inlineStr"/>
      <c r="AG22" s="39" t="inlineStr"/>
      <c r="AH22" s="39" t="inlineStr"/>
      <c r="AI22" s="39" t="inlineStr"/>
      <c r="AJ22" s="40" t="inlineStr"/>
    </row>
    <row r="23">
      <c r="A23" s="37" t="n">
        <v>18</v>
      </c>
      <c r="B23" s="31">
        <f>IF(INDEX(Klassenliste!$B$6:$B$40,18)=0,"",INDEX(Klassenliste!$B$6:$B$40,18))</f>
        <v/>
      </c>
      <c r="C23" s="31">
        <f>IF(INDEX(Klassenliste!$C$6:$C$40,18)=0,"",INDEX(Klassenliste!$C$6:$C$40,18))</f>
        <v/>
      </c>
      <c r="D23" s="19">
        <f>IF($B23="","",COUNTIF(G23:AJ23,"*M*"))</f>
        <v/>
      </c>
      <c r="E23" s="19">
        <f>IF($B23="","",COUNTIF(G23:AJ23,"*L*"))</f>
        <v/>
      </c>
      <c r="F23" s="38">
        <f>IF($B23="","",COUNTIF(G23:AJ23,"*i*"))</f>
        <v/>
      </c>
      <c r="G23" s="39" t="inlineStr"/>
      <c r="H23" s="39" t="inlineStr"/>
      <c r="I23" s="39" t="inlineStr"/>
      <c r="J23" s="39" t="inlineStr"/>
      <c r="K23" s="40" t="inlineStr"/>
      <c r="L23" s="39" t="inlineStr"/>
      <c r="M23" s="39" t="inlineStr"/>
      <c r="N23" s="39" t="inlineStr"/>
      <c r="O23" s="39" t="inlineStr"/>
      <c r="P23" s="40" t="inlineStr"/>
      <c r="Q23" s="39" t="inlineStr"/>
      <c r="R23" s="39" t="inlineStr"/>
      <c r="S23" s="39" t="inlineStr"/>
      <c r="T23" s="39" t="inlineStr"/>
      <c r="U23" s="40" t="inlineStr"/>
      <c r="V23" s="39" t="inlineStr"/>
      <c r="W23" s="39" t="inlineStr"/>
      <c r="X23" s="39" t="inlineStr"/>
      <c r="Y23" s="39" t="inlineStr"/>
      <c r="Z23" s="40" t="inlineStr"/>
      <c r="AA23" s="39" t="inlineStr"/>
      <c r="AB23" s="39" t="inlineStr"/>
      <c r="AC23" s="39" t="inlineStr"/>
      <c r="AD23" s="39" t="inlineStr"/>
      <c r="AE23" s="40" t="inlineStr"/>
      <c r="AF23" s="39" t="inlineStr"/>
      <c r="AG23" s="39" t="inlineStr"/>
      <c r="AH23" s="39" t="inlineStr"/>
      <c r="AI23" s="39" t="inlineStr"/>
      <c r="AJ23" s="40" t="inlineStr"/>
    </row>
    <row r="24">
      <c r="A24" s="37" t="n">
        <v>19</v>
      </c>
      <c r="B24" s="31">
        <f>IF(INDEX(Klassenliste!$B$6:$B$40,19)=0,"",INDEX(Klassenliste!$B$6:$B$40,19))</f>
        <v/>
      </c>
      <c r="C24" s="31">
        <f>IF(INDEX(Klassenliste!$C$6:$C$40,19)=0,"",INDEX(Klassenliste!$C$6:$C$40,19))</f>
        <v/>
      </c>
      <c r="D24" s="19">
        <f>IF($B24="","",COUNTIF(G24:AJ24,"*M*"))</f>
        <v/>
      </c>
      <c r="E24" s="19">
        <f>IF($B24="","",COUNTIF(G24:AJ24,"*L*"))</f>
        <v/>
      </c>
      <c r="F24" s="38">
        <f>IF($B24="","",COUNTIF(G24:AJ24,"*i*"))</f>
        <v/>
      </c>
      <c r="G24" s="39" t="inlineStr"/>
      <c r="H24" s="39" t="inlineStr"/>
      <c r="I24" s="39" t="inlineStr"/>
      <c r="J24" s="39" t="inlineStr"/>
      <c r="K24" s="40" t="inlineStr"/>
      <c r="L24" s="39" t="inlineStr"/>
      <c r="M24" s="39" t="inlineStr"/>
      <c r="N24" s="39" t="inlineStr"/>
      <c r="O24" s="39" t="inlineStr"/>
      <c r="P24" s="40" t="inlineStr"/>
      <c r="Q24" s="39" t="inlineStr"/>
      <c r="R24" s="39" t="inlineStr"/>
      <c r="S24" s="39" t="inlineStr"/>
      <c r="T24" s="39" t="inlineStr"/>
      <c r="U24" s="40" t="inlineStr"/>
      <c r="V24" s="39" t="inlineStr"/>
      <c r="W24" s="39" t="inlineStr"/>
      <c r="X24" s="39" t="inlineStr"/>
      <c r="Y24" s="39" t="inlineStr"/>
      <c r="Z24" s="40" t="inlineStr"/>
      <c r="AA24" s="39" t="inlineStr"/>
      <c r="AB24" s="39" t="inlineStr"/>
      <c r="AC24" s="39" t="inlineStr"/>
      <c r="AD24" s="39" t="inlineStr"/>
      <c r="AE24" s="40" t="inlineStr"/>
      <c r="AF24" s="39" t="inlineStr"/>
      <c r="AG24" s="39" t="inlineStr"/>
      <c r="AH24" s="39" t="inlineStr"/>
      <c r="AI24" s="39" t="inlineStr"/>
      <c r="AJ24" s="40" t="inlineStr"/>
    </row>
    <row r="25">
      <c r="A25" s="37" t="n">
        <v>20</v>
      </c>
      <c r="B25" s="31">
        <f>IF(INDEX(Klassenliste!$B$6:$B$40,20)=0,"",INDEX(Klassenliste!$B$6:$B$40,20))</f>
        <v/>
      </c>
      <c r="C25" s="31">
        <f>IF(INDEX(Klassenliste!$C$6:$C$40,20)=0,"",INDEX(Klassenliste!$C$6:$C$40,20))</f>
        <v/>
      </c>
      <c r="D25" s="19">
        <f>IF($B25="","",COUNTIF(G25:AJ25,"*M*"))</f>
        <v/>
      </c>
      <c r="E25" s="19">
        <f>IF($B25="","",COUNTIF(G25:AJ25,"*L*"))</f>
        <v/>
      </c>
      <c r="F25" s="38">
        <f>IF($B25="","",COUNTIF(G25:AJ25,"*i*"))</f>
        <v/>
      </c>
      <c r="G25" s="39" t="inlineStr"/>
      <c r="H25" s="39" t="inlineStr"/>
      <c r="I25" s="39" t="inlineStr"/>
      <c r="J25" s="39" t="inlineStr"/>
      <c r="K25" s="40" t="inlineStr"/>
      <c r="L25" s="39" t="inlineStr"/>
      <c r="M25" s="39" t="inlineStr"/>
      <c r="N25" s="39" t="inlineStr"/>
      <c r="O25" s="39" t="inlineStr"/>
      <c r="P25" s="40" t="inlineStr"/>
      <c r="Q25" s="39" t="inlineStr"/>
      <c r="R25" s="39" t="inlineStr"/>
      <c r="S25" s="39" t="inlineStr"/>
      <c r="T25" s="39" t="inlineStr"/>
      <c r="U25" s="40" t="inlineStr"/>
      <c r="V25" s="39" t="inlineStr"/>
      <c r="W25" s="39" t="inlineStr"/>
      <c r="X25" s="39" t="inlineStr"/>
      <c r="Y25" s="39" t="inlineStr"/>
      <c r="Z25" s="40" t="inlineStr"/>
      <c r="AA25" s="39" t="inlineStr"/>
      <c r="AB25" s="39" t="inlineStr"/>
      <c r="AC25" s="39" t="inlineStr"/>
      <c r="AD25" s="39" t="inlineStr"/>
      <c r="AE25" s="40" t="inlineStr"/>
      <c r="AF25" s="39" t="inlineStr"/>
      <c r="AG25" s="39" t="inlineStr"/>
      <c r="AH25" s="39" t="inlineStr"/>
      <c r="AI25" s="39" t="inlineStr"/>
      <c r="AJ25" s="40" t="inlineStr"/>
    </row>
    <row r="26">
      <c r="A26" s="37" t="n">
        <v>21</v>
      </c>
      <c r="B26" s="31">
        <f>IF(INDEX(Klassenliste!$B$6:$B$40,21)=0,"",INDEX(Klassenliste!$B$6:$B$40,21))</f>
        <v/>
      </c>
      <c r="C26" s="31">
        <f>IF(INDEX(Klassenliste!$C$6:$C$40,21)=0,"",INDEX(Klassenliste!$C$6:$C$40,21))</f>
        <v/>
      </c>
      <c r="D26" s="19">
        <f>IF($B26="","",COUNTIF(G26:AJ26,"*M*"))</f>
        <v/>
      </c>
      <c r="E26" s="19">
        <f>IF($B26="","",COUNTIF(G26:AJ26,"*L*"))</f>
        <v/>
      </c>
      <c r="F26" s="38">
        <f>IF($B26="","",COUNTIF(G26:AJ26,"*i*"))</f>
        <v/>
      </c>
      <c r="G26" s="39" t="inlineStr"/>
      <c r="H26" s="39" t="inlineStr"/>
      <c r="I26" s="39" t="inlineStr"/>
      <c r="J26" s="39" t="inlineStr"/>
      <c r="K26" s="40" t="inlineStr"/>
      <c r="L26" s="39" t="inlineStr"/>
      <c r="M26" s="39" t="inlineStr"/>
      <c r="N26" s="39" t="inlineStr"/>
      <c r="O26" s="39" t="inlineStr"/>
      <c r="P26" s="40" t="inlineStr"/>
      <c r="Q26" s="39" t="inlineStr"/>
      <c r="R26" s="39" t="inlineStr"/>
      <c r="S26" s="39" t="inlineStr"/>
      <c r="T26" s="39" t="inlineStr"/>
      <c r="U26" s="40" t="inlineStr"/>
      <c r="V26" s="39" t="inlineStr"/>
      <c r="W26" s="39" t="inlineStr"/>
      <c r="X26" s="39" t="inlineStr"/>
      <c r="Y26" s="39" t="inlineStr"/>
      <c r="Z26" s="40" t="inlineStr"/>
      <c r="AA26" s="39" t="inlineStr"/>
      <c r="AB26" s="39" t="inlineStr"/>
      <c r="AC26" s="39" t="inlineStr"/>
      <c r="AD26" s="39" t="inlineStr"/>
      <c r="AE26" s="40" t="inlineStr"/>
      <c r="AF26" s="39" t="inlineStr"/>
      <c r="AG26" s="39" t="inlineStr"/>
      <c r="AH26" s="39" t="inlineStr"/>
      <c r="AI26" s="39" t="inlineStr"/>
      <c r="AJ26" s="40" t="inlineStr"/>
    </row>
    <row r="27">
      <c r="A27" s="37" t="n">
        <v>22</v>
      </c>
      <c r="B27" s="31">
        <f>IF(INDEX(Klassenliste!$B$6:$B$40,22)=0,"",INDEX(Klassenliste!$B$6:$B$40,22))</f>
        <v/>
      </c>
      <c r="C27" s="31">
        <f>IF(INDEX(Klassenliste!$C$6:$C$40,22)=0,"",INDEX(Klassenliste!$C$6:$C$40,22))</f>
        <v/>
      </c>
      <c r="D27" s="19">
        <f>IF($B27="","",COUNTIF(G27:AJ27,"*M*"))</f>
        <v/>
      </c>
      <c r="E27" s="19">
        <f>IF($B27="","",COUNTIF(G27:AJ27,"*L*"))</f>
        <v/>
      </c>
      <c r="F27" s="38">
        <f>IF($B27="","",COUNTIF(G27:AJ27,"*i*"))</f>
        <v/>
      </c>
      <c r="G27" s="39" t="inlineStr"/>
      <c r="H27" s="39" t="inlineStr"/>
      <c r="I27" s="39" t="inlineStr"/>
      <c r="J27" s="39" t="inlineStr"/>
      <c r="K27" s="40" t="inlineStr"/>
      <c r="L27" s="39" t="inlineStr"/>
      <c r="M27" s="39" t="inlineStr"/>
      <c r="N27" s="39" t="inlineStr"/>
      <c r="O27" s="39" t="inlineStr"/>
      <c r="P27" s="40" t="inlineStr"/>
      <c r="Q27" s="39" t="inlineStr"/>
      <c r="R27" s="39" t="inlineStr"/>
      <c r="S27" s="39" t="inlineStr"/>
      <c r="T27" s="39" t="inlineStr"/>
      <c r="U27" s="40" t="inlineStr"/>
      <c r="V27" s="39" t="inlineStr"/>
      <c r="W27" s="39" t="inlineStr"/>
      <c r="X27" s="39" t="inlineStr"/>
      <c r="Y27" s="39" t="inlineStr"/>
      <c r="Z27" s="40" t="inlineStr"/>
      <c r="AA27" s="39" t="inlineStr"/>
      <c r="AB27" s="39" t="inlineStr"/>
      <c r="AC27" s="39" t="inlineStr"/>
      <c r="AD27" s="39" t="inlineStr"/>
      <c r="AE27" s="40" t="inlineStr"/>
      <c r="AF27" s="39" t="inlineStr"/>
      <c r="AG27" s="39" t="inlineStr"/>
      <c r="AH27" s="39" t="inlineStr"/>
      <c r="AI27" s="39" t="inlineStr"/>
      <c r="AJ27" s="40" t="inlineStr"/>
    </row>
    <row r="28">
      <c r="A28" s="37" t="n">
        <v>23</v>
      </c>
      <c r="B28" s="31">
        <f>IF(INDEX(Klassenliste!$B$6:$B$40,23)=0,"",INDEX(Klassenliste!$B$6:$B$40,23))</f>
        <v/>
      </c>
      <c r="C28" s="31">
        <f>IF(INDEX(Klassenliste!$C$6:$C$40,23)=0,"",INDEX(Klassenliste!$C$6:$C$40,23))</f>
        <v/>
      </c>
      <c r="D28" s="19">
        <f>IF($B28="","",COUNTIF(G28:AJ28,"*M*"))</f>
        <v/>
      </c>
      <c r="E28" s="19">
        <f>IF($B28="","",COUNTIF(G28:AJ28,"*L*"))</f>
        <v/>
      </c>
      <c r="F28" s="38">
        <f>IF($B28="","",COUNTIF(G28:AJ28,"*i*"))</f>
        <v/>
      </c>
      <c r="G28" s="39" t="inlineStr"/>
      <c r="H28" s="39" t="inlineStr"/>
      <c r="I28" s="39" t="inlineStr"/>
      <c r="J28" s="39" t="inlineStr"/>
      <c r="K28" s="40" t="inlineStr"/>
      <c r="L28" s="39" t="inlineStr"/>
      <c r="M28" s="39" t="inlineStr"/>
      <c r="N28" s="39" t="inlineStr"/>
      <c r="O28" s="39" t="inlineStr"/>
      <c r="P28" s="40" t="inlineStr"/>
      <c r="Q28" s="39" t="inlineStr"/>
      <c r="R28" s="39" t="inlineStr"/>
      <c r="S28" s="39" t="inlineStr"/>
      <c r="T28" s="39" t="inlineStr"/>
      <c r="U28" s="40" t="inlineStr"/>
      <c r="V28" s="39" t="inlineStr"/>
      <c r="W28" s="39" t="inlineStr"/>
      <c r="X28" s="39" t="inlineStr"/>
      <c r="Y28" s="39" t="inlineStr"/>
      <c r="Z28" s="40" t="inlineStr"/>
      <c r="AA28" s="39" t="inlineStr"/>
      <c r="AB28" s="39" t="inlineStr"/>
      <c r="AC28" s="39" t="inlineStr"/>
      <c r="AD28" s="39" t="inlineStr"/>
      <c r="AE28" s="40" t="inlineStr"/>
      <c r="AF28" s="39" t="inlineStr"/>
      <c r="AG28" s="39" t="inlineStr"/>
      <c r="AH28" s="39" t="inlineStr"/>
      <c r="AI28" s="39" t="inlineStr"/>
      <c r="AJ28" s="40" t="inlineStr"/>
    </row>
    <row r="29">
      <c r="A29" s="37" t="n">
        <v>24</v>
      </c>
      <c r="B29" s="31">
        <f>IF(INDEX(Klassenliste!$B$6:$B$40,24)=0,"",INDEX(Klassenliste!$B$6:$B$40,24))</f>
        <v/>
      </c>
      <c r="C29" s="31">
        <f>IF(INDEX(Klassenliste!$C$6:$C$40,24)=0,"",INDEX(Klassenliste!$C$6:$C$40,24))</f>
        <v/>
      </c>
      <c r="D29" s="19">
        <f>IF($B29="","",COUNTIF(G29:AJ29,"*M*"))</f>
        <v/>
      </c>
      <c r="E29" s="19">
        <f>IF($B29="","",COUNTIF(G29:AJ29,"*L*"))</f>
        <v/>
      </c>
      <c r="F29" s="38">
        <f>IF($B29="","",COUNTIF(G29:AJ29,"*i*"))</f>
        <v/>
      </c>
      <c r="G29" s="39" t="inlineStr"/>
      <c r="H29" s="39" t="inlineStr"/>
      <c r="I29" s="39" t="inlineStr"/>
      <c r="J29" s="39" t="inlineStr"/>
      <c r="K29" s="40" t="inlineStr"/>
      <c r="L29" s="39" t="inlineStr"/>
      <c r="M29" s="39" t="inlineStr"/>
      <c r="N29" s="39" t="inlineStr"/>
      <c r="O29" s="39" t="inlineStr"/>
      <c r="P29" s="40" t="inlineStr"/>
      <c r="Q29" s="39" t="inlineStr"/>
      <c r="R29" s="39" t="inlineStr"/>
      <c r="S29" s="39" t="inlineStr"/>
      <c r="T29" s="39" t="inlineStr"/>
      <c r="U29" s="40" t="inlineStr"/>
      <c r="V29" s="39" t="inlineStr"/>
      <c r="W29" s="39" t="inlineStr"/>
      <c r="X29" s="39" t="inlineStr"/>
      <c r="Y29" s="39" t="inlineStr"/>
      <c r="Z29" s="40" t="inlineStr"/>
      <c r="AA29" s="39" t="inlineStr"/>
      <c r="AB29" s="39" t="inlineStr"/>
      <c r="AC29" s="39" t="inlineStr"/>
      <c r="AD29" s="39" t="inlineStr"/>
      <c r="AE29" s="40" t="inlineStr"/>
      <c r="AF29" s="39" t="inlineStr"/>
      <c r="AG29" s="39" t="inlineStr"/>
      <c r="AH29" s="39" t="inlineStr"/>
      <c r="AI29" s="39" t="inlineStr"/>
      <c r="AJ29" s="40" t="inlineStr"/>
    </row>
    <row r="30">
      <c r="A30" s="37" t="n">
        <v>25</v>
      </c>
      <c r="B30" s="31">
        <f>IF(INDEX(Klassenliste!$B$6:$B$40,25)=0,"",INDEX(Klassenliste!$B$6:$B$40,25))</f>
        <v/>
      </c>
      <c r="C30" s="31">
        <f>IF(INDEX(Klassenliste!$C$6:$C$40,25)=0,"",INDEX(Klassenliste!$C$6:$C$40,25))</f>
        <v/>
      </c>
      <c r="D30" s="19">
        <f>IF($B30="","",COUNTIF(G30:AJ30,"*M*"))</f>
        <v/>
      </c>
      <c r="E30" s="19">
        <f>IF($B30="","",COUNTIF(G30:AJ30,"*L*"))</f>
        <v/>
      </c>
      <c r="F30" s="38">
        <f>IF($B30="","",COUNTIF(G30:AJ30,"*i*"))</f>
        <v/>
      </c>
      <c r="G30" s="39" t="inlineStr"/>
      <c r="H30" s="39" t="inlineStr"/>
      <c r="I30" s="39" t="inlineStr"/>
      <c r="J30" s="39" t="inlineStr"/>
      <c r="K30" s="40" t="inlineStr"/>
      <c r="L30" s="39" t="inlineStr"/>
      <c r="M30" s="39" t="inlineStr"/>
      <c r="N30" s="39" t="inlineStr"/>
      <c r="O30" s="39" t="inlineStr"/>
      <c r="P30" s="40" t="inlineStr"/>
      <c r="Q30" s="39" t="inlineStr"/>
      <c r="R30" s="39" t="inlineStr"/>
      <c r="S30" s="39" t="inlineStr"/>
      <c r="T30" s="39" t="inlineStr"/>
      <c r="U30" s="40" t="inlineStr"/>
      <c r="V30" s="39" t="inlineStr"/>
      <c r="W30" s="39" t="inlineStr"/>
      <c r="X30" s="39" t="inlineStr"/>
      <c r="Y30" s="39" t="inlineStr"/>
      <c r="Z30" s="40" t="inlineStr"/>
      <c r="AA30" s="39" t="inlineStr"/>
      <c r="AB30" s="39" t="inlineStr"/>
      <c r="AC30" s="39" t="inlineStr"/>
      <c r="AD30" s="39" t="inlineStr"/>
      <c r="AE30" s="40" t="inlineStr"/>
      <c r="AF30" s="39" t="inlineStr"/>
      <c r="AG30" s="39" t="inlineStr"/>
      <c r="AH30" s="39" t="inlineStr"/>
      <c r="AI30" s="39" t="inlineStr"/>
      <c r="AJ30" s="40" t="inlineStr"/>
    </row>
    <row r="31">
      <c r="A31" s="37" t="n">
        <v>26</v>
      </c>
      <c r="B31" s="31">
        <f>IF(INDEX(Klassenliste!$B$6:$B$40,26)=0,"",INDEX(Klassenliste!$B$6:$B$40,26))</f>
        <v/>
      </c>
      <c r="C31" s="31">
        <f>IF(INDEX(Klassenliste!$C$6:$C$40,26)=0,"",INDEX(Klassenliste!$C$6:$C$40,26))</f>
        <v/>
      </c>
      <c r="D31" s="19">
        <f>IF($B31="","",COUNTIF(G31:AJ31,"*M*"))</f>
        <v/>
      </c>
      <c r="E31" s="19">
        <f>IF($B31="","",COUNTIF(G31:AJ31,"*L*"))</f>
        <v/>
      </c>
      <c r="F31" s="38">
        <f>IF($B31="","",COUNTIF(G31:AJ31,"*i*"))</f>
        <v/>
      </c>
      <c r="G31" s="39" t="inlineStr"/>
      <c r="H31" s="39" t="inlineStr"/>
      <c r="I31" s="39" t="inlineStr"/>
      <c r="J31" s="39" t="inlineStr"/>
      <c r="K31" s="40" t="inlineStr"/>
      <c r="L31" s="39" t="inlineStr"/>
      <c r="M31" s="39" t="inlineStr"/>
      <c r="N31" s="39" t="inlineStr"/>
      <c r="O31" s="39" t="inlineStr"/>
      <c r="P31" s="40" t="inlineStr"/>
      <c r="Q31" s="39" t="inlineStr"/>
      <c r="R31" s="39" t="inlineStr"/>
      <c r="S31" s="39" t="inlineStr"/>
      <c r="T31" s="39" t="inlineStr"/>
      <c r="U31" s="40" t="inlineStr"/>
      <c r="V31" s="39" t="inlineStr"/>
      <c r="W31" s="39" t="inlineStr"/>
      <c r="X31" s="39" t="inlineStr"/>
      <c r="Y31" s="39" t="inlineStr"/>
      <c r="Z31" s="40" t="inlineStr"/>
      <c r="AA31" s="39" t="inlineStr"/>
      <c r="AB31" s="39" t="inlineStr"/>
      <c r="AC31" s="39" t="inlineStr"/>
      <c r="AD31" s="39" t="inlineStr"/>
      <c r="AE31" s="40" t="inlineStr"/>
      <c r="AF31" s="39" t="inlineStr"/>
      <c r="AG31" s="39" t="inlineStr"/>
      <c r="AH31" s="39" t="inlineStr"/>
      <c r="AI31" s="39" t="inlineStr"/>
      <c r="AJ31" s="40" t="inlineStr"/>
    </row>
    <row r="32">
      <c r="A32" s="37" t="n">
        <v>27</v>
      </c>
      <c r="B32" s="31">
        <f>IF(INDEX(Klassenliste!$B$6:$B$40,27)=0,"",INDEX(Klassenliste!$B$6:$B$40,27))</f>
        <v/>
      </c>
      <c r="C32" s="31">
        <f>IF(INDEX(Klassenliste!$C$6:$C$40,27)=0,"",INDEX(Klassenliste!$C$6:$C$40,27))</f>
        <v/>
      </c>
      <c r="D32" s="19">
        <f>IF($B32="","",COUNTIF(G32:AJ32,"*M*"))</f>
        <v/>
      </c>
      <c r="E32" s="19">
        <f>IF($B32="","",COUNTIF(G32:AJ32,"*L*"))</f>
        <v/>
      </c>
      <c r="F32" s="38">
        <f>IF($B32="","",COUNTIF(G32:AJ32,"*i*"))</f>
        <v/>
      </c>
      <c r="G32" s="39" t="inlineStr"/>
      <c r="H32" s="39" t="inlineStr"/>
      <c r="I32" s="39" t="inlineStr"/>
      <c r="J32" s="39" t="inlineStr"/>
      <c r="K32" s="40" t="inlineStr"/>
      <c r="L32" s="39" t="inlineStr"/>
      <c r="M32" s="39" t="inlineStr"/>
      <c r="N32" s="39" t="inlineStr"/>
      <c r="O32" s="39" t="inlineStr"/>
      <c r="P32" s="40" t="inlineStr"/>
      <c r="Q32" s="39" t="inlineStr"/>
      <c r="R32" s="39" t="inlineStr"/>
      <c r="S32" s="39" t="inlineStr"/>
      <c r="T32" s="39" t="inlineStr"/>
      <c r="U32" s="40" t="inlineStr"/>
      <c r="V32" s="39" t="inlineStr"/>
      <c r="W32" s="39" t="inlineStr"/>
      <c r="X32" s="39" t="inlineStr"/>
      <c r="Y32" s="39" t="inlineStr"/>
      <c r="Z32" s="40" t="inlineStr"/>
      <c r="AA32" s="39" t="inlineStr"/>
      <c r="AB32" s="39" t="inlineStr"/>
      <c r="AC32" s="39" t="inlineStr"/>
      <c r="AD32" s="39" t="inlineStr"/>
      <c r="AE32" s="40" t="inlineStr"/>
      <c r="AF32" s="39" t="inlineStr"/>
      <c r="AG32" s="39" t="inlineStr"/>
      <c r="AH32" s="39" t="inlineStr"/>
      <c r="AI32" s="39" t="inlineStr"/>
      <c r="AJ32" s="40" t="inlineStr"/>
    </row>
    <row r="33">
      <c r="A33" s="37" t="n">
        <v>28</v>
      </c>
      <c r="B33" s="31">
        <f>IF(INDEX(Klassenliste!$B$6:$B$40,28)=0,"",INDEX(Klassenliste!$B$6:$B$40,28))</f>
        <v/>
      </c>
      <c r="C33" s="31">
        <f>IF(INDEX(Klassenliste!$C$6:$C$40,28)=0,"",INDEX(Klassenliste!$C$6:$C$40,28))</f>
        <v/>
      </c>
      <c r="D33" s="19">
        <f>IF($B33="","",COUNTIF(G33:AJ33,"*M*"))</f>
        <v/>
      </c>
      <c r="E33" s="19">
        <f>IF($B33="","",COUNTIF(G33:AJ33,"*L*"))</f>
        <v/>
      </c>
      <c r="F33" s="38">
        <f>IF($B33="","",COUNTIF(G33:AJ33,"*i*"))</f>
        <v/>
      </c>
      <c r="G33" s="39" t="inlineStr"/>
      <c r="H33" s="39" t="inlineStr"/>
      <c r="I33" s="39" t="inlineStr"/>
      <c r="J33" s="39" t="inlineStr"/>
      <c r="K33" s="40" t="inlineStr"/>
      <c r="L33" s="39" t="inlineStr"/>
      <c r="M33" s="39" t="inlineStr"/>
      <c r="N33" s="39" t="inlineStr"/>
      <c r="O33" s="39" t="inlineStr"/>
      <c r="P33" s="40" t="inlineStr"/>
      <c r="Q33" s="39" t="inlineStr"/>
      <c r="R33" s="39" t="inlineStr"/>
      <c r="S33" s="39" t="inlineStr"/>
      <c r="T33" s="39" t="inlineStr"/>
      <c r="U33" s="40" t="inlineStr"/>
      <c r="V33" s="39" t="inlineStr"/>
      <c r="W33" s="39" t="inlineStr"/>
      <c r="X33" s="39" t="inlineStr"/>
      <c r="Y33" s="39" t="inlineStr"/>
      <c r="Z33" s="40" t="inlineStr"/>
      <c r="AA33" s="39" t="inlineStr"/>
      <c r="AB33" s="39" t="inlineStr"/>
      <c r="AC33" s="39" t="inlineStr"/>
      <c r="AD33" s="39" t="inlineStr"/>
      <c r="AE33" s="40" t="inlineStr"/>
      <c r="AF33" s="39" t="inlineStr"/>
      <c r="AG33" s="39" t="inlineStr"/>
      <c r="AH33" s="39" t="inlineStr"/>
      <c r="AI33" s="39" t="inlineStr"/>
      <c r="AJ33" s="40" t="inlineStr"/>
    </row>
    <row r="34">
      <c r="A34" s="37" t="n">
        <v>29</v>
      </c>
      <c r="B34" s="31">
        <f>IF(INDEX(Klassenliste!$B$6:$B$40,29)=0,"",INDEX(Klassenliste!$B$6:$B$40,29))</f>
        <v/>
      </c>
      <c r="C34" s="31">
        <f>IF(INDEX(Klassenliste!$C$6:$C$40,29)=0,"",INDEX(Klassenliste!$C$6:$C$40,29))</f>
        <v/>
      </c>
      <c r="D34" s="19">
        <f>IF($B34="","",COUNTIF(G34:AJ34,"*M*"))</f>
        <v/>
      </c>
      <c r="E34" s="19">
        <f>IF($B34="","",COUNTIF(G34:AJ34,"*L*"))</f>
        <v/>
      </c>
      <c r="F34" s="38">
        <f>IF($B34="","",COUNTIF(G34:AJ34,"*i*"))</f>
        <v/>
      </c>
      <c r="G34" s="39" t="inlineStr"/>
      <c r="H34" s="39" t="inlineStr"/>
      <c r="I34" s="39" t="inlineStr"/>
      <c r="J34" s="39" t="inlineStr"/>
      <c r="K34" s="40" t="inlineStr"/>
      <c r="L34" s="39" t="inlineStr"/>
      <c r="M34" s="39" t="inlineStr"/>
      <c r="N34" s="39" t="inlineStr"/>
      <c r="O34" s="39" t="inlineStr"/>
      <c r="P34" s="40" t="inlineStr"/>
      <c r="Q34" s="39" t="inlineStr"/>
      <c r="R34" s="39" t="inlineStr"/>
      <c r="S34" s="39" t="inlineStr"/>
      <c r="T34" s="39" t="inlineStr"/>
      <c r="U34" s="40" t="inlineStr"/>
      <c r="V34" s="39" t="inlineStr"/>
      <c r="W34" s="39" t="inlineStr"/>
      <c r="X34" s="39" t="inlineStr"/>
      <c r="Y34" s="39" t="inlineStr"/>
      <c r="Z34" s="40" t="inlineStr"/>
      <c r="AA34" s="39" t="inlineStr"/>
      <c r="AB34" s="39" t="inlineStr"/>
      <c r="AC34" s="39" t="inlineStr"/>
      <c r="AD34" s="39" t="inlineStr"/>
      <c r="AE34" s="40" t="inlineStr"/>
      <c r="AF34" s="39" t="inlineStr"/>
      <c r="AG34" s="39" t="inlineStr"/>
      <c r="AH34" s="39" t="inlineStr"/>
      <c r="AI34" s="39" t="inlineStr"/>
      <c r="AJ34" s="40" t="inlineStr"/>
    </row>
    <row r="35">
      <c r="A35" s="37" t="n">
        <v>30</v>
      </c>
      <c r="B35" s="31">
        <f>IF(INDEX(Klassenliste!$B$6:$B$40,30)=0,"",INDEX(Klassenliste!$B$6:$B$40,30))</f>
        <v/>
      </c>
      <c r="C35" s="31">
        <f>IF(INDEX(Klassenliste!$C$6:$C$40,30)=0,"",INDEX(Klassenliste!$C$6:$C$40,30))</f>
        <v/>
      </c>
      <c r="D35" s="19">
        <f>IF($B35="","",COUNTIF(G35:AJ35,"*M*"))</f>
        <v/>
      </c>
      <c r="E35" s="19">
        <f>IF($B35="","",COUNTIF(G35:AJ35,"*L*"))</f>
        <v/>
      </c>
      <c r="F35" s="38">
        <f>IF($B35="","",COUNTIF(G35:AJ35,"*i*"))</f>
        <v/>
      </c>
      <c r="G35" s="39" t="inlineStr"/>
      <c r="H35" s="39" t="inlineStr"/>
      <c r="I35" s="39" t="inlineStr"/>
      <c r="J35" s="39" t="inlineStr"/>
      <c r="K35" s="40" t="inlineStr"/>
      <c r="L35" s="39" t="inlineStr"/>
      <c r="M35" s="39" t="inlineStr"/>
      <c r="N35" s="39" t="inlineStr"/>
      <c r="O35" s="39" t="inlineStr"/>
      <c r="P35" s="40" t="inlineStr"/>
      <c r="Q35" s="39" t="inlineStr"/>
      <c r="R35" s="39" t="inlineStr"/>
      <c r="S35" s="39" t="inlineStr"/>
      <c r="T35" s="39" t="inlineStr"/>
      <c r="U35" s="40" t="inlineStr"/>
      <c r="V35" s="39" t="inlineStr"/>
      <c r="W35" s="39" t="inlineStr"/>
      <c r="X35" s="39" t="inlineStr"/>
      <c r="Y35" s="39" t="inlineStr"/>
      <c r="Z35" s="40" t="inlineStr"/>
      <c r="AA35" s="39" t="inlineStr"/>
      <c r="AB35" s="39" t="inlineStr"/>
      <c r="AC35" s="39" t="inlineStr"/>
      <c r="AD35" s="39" t="inlineStr"/>
      <c r="AE35" s="40" t="inlineStr"/>
      <c r="AF35" s="39" t="inlineStr"/>
      <c r="AG35" s="39" t="inlineStr"/>
      <c r="AH35" s="39" t="inlineStr"/>
      <c r="AI35" s="39" t="inlineStr"/>
      <c r="AJ35" s="40" t="inlineStr"/>
    </row>
    <row r="36">
      <c r="A36" s="37" t="n">
        <v>31</v>
      </c>
      <c r="B36" s="31">
        <f>IF(INDEX(Klassenliste!$B$6:$B$40,31)=0,"",INDEX(Klassenliste!$B$6:$B$40,31))</f>
        <v/>
      </c>
      <c r="C36" s="31">
        <f>IF(INDEX(Klassenliste!$C$6:$C$40,31)=0,"",INDEX(Klassenliste!$C$6:$C$40,31))</f>
        <v/>
      </c>
      <c r="D36" s="19">
        <f>IF($B36="","",COUNTIF(G36:AJ36,"*M*"))</f>
        <v/>
      </c>
      <c r="E36" s="19">
        <f>IF($B36="","",COUNTIF(G36:AJ36,"*L*"))</f>
        <v/>
      </c>
      <c r="F36" s="38">
        <f>IF($B36="","",COUNTIF(G36:AJ36,"*i*"))</f>
        <v/>
      </c>
      <c r="G36" s="39" t="inlineStr"/>
      <c r="H36" s="39" t="inlineStr"/>
      <c r="I36" s="39" t="inlineStr"/>
      <c r="J36" s="39" t="inlineStr"/>
      <c r="K36" s="40" t="inlineStr"/>
      <c r="L36" s="39" t="inlineStr"/>
      <c r="M36" s="39" t="inlineStr"/>
      <c r="N36" s="39" t="inlineStr"/>
      <c r="O36" s="39" t="inlineStr"/>
      <c r="P36" s="40" t="inlineStr"/>
      <c r="Q36" s="39" t="inlineStr"/>
      <c r="R36" s="39" t="inlineStr"/>
      <c r="S36" s="39" t="inlineStr"/>
      <c r="T36" s="39" t="inlineStr"/>
      <c r="U36" s="40" t="inlineStr"/>
      <c r="V36" s="39" t="inlineStr"/>
      <c r="W36" s="39" t="inlineStr"/>
      <c r="X36" s="39" t="inlineStr"/>
      <c r="Y36" s="39" t="inlineStr"/>
      <c r="Z36" s="40" t="inlineStr"/>
      <c r="AA36" s="39" t="inlineStr"/>
      <c r="AB36" s="39" t="inlineStr"/>
      <c r="AC36" s="39" t="inlineStr"/>
      <c r="AD36" s="39" t="inlineStr"/>
      <c r="AE36" s="40" t="inlineStr"/>
      <c r="AF36" s="39" t="inlineStr"/>
      <c r="AG36" s="39" t="inlineStr"/>
      <c r="AH36" s="39" t="inlineStr"/>
      <c r="AI36" s="39" t="inlineStr"/>
      <c r="AJ36" s="40" t="inlineStr"/>
    </row>
    <row r="37">
      <c r="A37" s="37" t="n">
        <v>32</v>
      </c>
      <c r="B37" s="31">
        <f>IF(INDEX(Klassenliste!$B$6:$B$40,32)=0,"",INDEX(Klassenliste!$B$6:$B$40,32))</f>
        <v/>
      </c>
      <c r="C37" s="31">
        <f>IF(INDEX(Klassenliste!$C$6:$C$40,32)=0,"",INDEX(Klassenliste!$C$6:$C$40,32))</f>
        <v/>
      </c>
      <c r="D37" s="19">
        <f>IF($B37="","",COUNTIF(G37:AJ37,"*M*"))</f>
        <v/>
      </c>
      <c r="E37" s="19">
        <f>IF($B37="","",COUNTIF(G37:AJ37,"*L*"))</f>
        <v/>
      </c>
      <c r="F37" s="38">
        <f>IF($B37="","",COUNTIF(G37:AJ37,"*i*"))</f>
        <v/>
      </c>
      <c r="G37" s="39" t="inlineStr"/>
      <c r="H37" s="39" t="inlineStr"/>
      <c r="I37" s="39" t="inlineStr"/>
      <c r="J37" s="39" t="inlineStr"/>
      <c r="K37" s="40" t="inlineStr"/>
      <c r="L37" s="39" t="inlineStr"/>
      <c r="M37" s="39" t="inlineStr"/>
      <c r="N37" s="39" t="inlineStr"/>
      <c r="O37" s="39" t="inlineStr"/>
      <c r="P37" s="40" t="inlineStr"/>
      <c r="Q37" s="39" t="inlineStr"/>
      <c r="R37" s="39" t="inlineStr"/>
      <c r="S37" s="39" t="inlineStr"/>
      <c r="T37" s="39" t="inlineStr"/>
      <c r="U37" s="40" t="inlineStr"/>
      <c r="V37" s="39" t="inlineStr"/>
      <c r="W37" s="39" t="inlineStr"/>
      <c r="X37" s="39" t="inlineStr"/>
      <c r="Y37" s="39" t="inlineStr"/>
      <c r="Z37" s="40" t="inlineStr"/>
      <c r="AA37" s="39" t="inlineStr"/>
      <c r="AB37" s="39" t="inlineStr"/>
      <c r="AC37" s="39" t="inlineStr"/>
      <c r="AD37" s="39" t="inlineStr"/>
      <c r="AE37" s="40" t="inlineStr"/>
      <c r="AF37" s="39" t="inlineStr"/>
      <c r="AG37" s="39" t="inlineStr"/>
      <c r="AH37" s="39" t="inlineStr"/>
      <c r="AI37" s="39" t="inlineStr"/>
      <c r="AJ37" s="40" t="inlineStr"/>
    </row>
    <row r="38">
      <c r="A38" s="37" t="n">
        <v>33</v>
      </c>
      <c r="B38" s="31">
        <f>IF(INDEX(Klassenliste!$B$6:$B$40,33)=0,"",INDEX(Klassenliste!$B$6:$B$40,33))</f>
        <v/>
      </c>
      <c r="C38" s="31">
        <f>IF(INDEX(Klassenliste!$C$6:$C$40,33)=0,"",INDEX(Klassenliste!$C$6:$C$40,33))</f>
        <v/>
      </c>
      <c r="D38" s="19">
        <f>IF($B38="","",COUNTIF(G38:AJ38,"*M*"))</f>
        <v/>
      </c>
      <c r="E38" s="19">
        <f>IF($B38="","",COUNTIF(G38:AJ38,"*L*"))</f>
        <v/>
      </c>
      <c r="F38" s="38">
        <f>IF($B38="","",COUNTIF(G38:AJ38,"*i*"))</f>
        <v/>
      </c>
      <c r="G38" s="39" t="inlineStr"/>
      <c r="H38" s="39" t="inlineStr"/>
      <c r="I38" s="39" t="inlineStr"/>
      <c r="J38" s="39" t="inlineStr"/>
      <c r="K38" s="40" t="inlineStr"/>
      <c r="L38" s="39" t="inlineStr"/>
      <c r="M38" s="39" t="inlineStr"/>
      <c r="N38" s="39" t="inlineStr"/>
      <c r="O38" s="39" t="inlineStr"/>
      <c r="P38" s="40" t="inlineStr"/>
      <c r="Q38" s="39" t="inlineStr"/>
      <c r="R38" s="39" t="inlineStr"/>
      <c r="S38" s="39" t="inlineStr"/>
      <c r="T38" s="39" t="inlineStr"/>
      <c r="U38" s="40" t="inlineStr"/>
      <c r="V38" s="39" t="inlineStr"/>
      <c r="W38" s="39" t="inlineStr"/>
      <c r="X38" s="39" t="inlineStr"/>
      <c r="Y38" s="39" t="inlineStr"/>
      <c r="Z38" s="40" t="inlineStr"/>
      <c r="AA38" s="39" t="inlineStr"/>
      <c r="AB38" s="39" t="inlineStr"/>
      <c r="AC38" s="39" t="inlineStr"/>
      <c r="AD38" s="39" t="inlineStr"/>
      <c r="AE38" s="40" t="inlineStr"/>
      <c r="AF38" s="39" t="inlineStr"/>
      <c r="AG38" s="39" t="inlineStr"/>
      <c r="AH38" s="39" t="inlineStr"/>
      <c r="AI38" s="39" t="inlineStr"/>
      <c r="AJ38" s="40" t="inlineStr"/>
    </row>
    <row r="39">
      <c r="A39" s="37" t="n">
        <v>34</v>
      </c>
      <c r="B39" s="31">
        <f>IF(INDEX(Klassenliste!$B$6:$B$40,34)=0,"",INDEX(Klassenliste!$B$6:$B$40,34))</f>
        <v/>
      </c>
      <c r="C39" s="31">
        <f>IF(INDEX(Klassenliste!$C$6:$C$40,34)=0,"",INDEX(Klassenliste!$C$6:$C$40,34))</f>
        <v/>
      </c>
      <c r="D39" s="19">
        <f>IF($B39="","",COUNTIF(G39:AJ39,"*M*"))</f>
        <v/>
      </c>
      <c r="E39" s="19">
        <f>IF($B39="","",COUNTIF(G39:AJ39,"*L*"))</f>
        <v/>
      </c>
      <c r="F39" s="38">
        <f>IF($B39="","",COUNTIF(G39:AJ39,"*i*"))</f>
        <v/>
      </c>
      <c r="G39" s="39" t="inlineStr"/>
      <c r="H39" s="39" t="inlineStr"/>
      <c r="I39" s="39" t="inlineStr"/>
      <c r="J39" s="39" t="inlineStr"/>
      <c r="K39" s="40" t="inlineStr"/>
      <c r="L39" s="39" t="inlineStr"/>
      <c r="M39" s="39" t="inlineStr"/>
      <c r="N39" s="39" t="inlineStr"/>
      <c r="O39" s="39" t="inlineStr"/>
      <c r="P39" s="40" t="inlineStr"/>
      <c r="Q39" s="39" t="inlineStr"/>
      <c r="R39" s="39" t="inlineStr"/>
      <c r="S39" s="39" t="inlineStr"/>
      <c r="T39" s="39" t="inlineStr"/>
      <c r="U39" s="40" t="inlineStr"/>
      <c r="V39" s="39" t="inlineStr"/>
      <c r="W39" s="39" t="inlineStr"/>
      <c r="X39" s="39" t="inlineStr"/>
      <c r="Y39" s="39" t="inlineStr"/>
      <c r="Z39" s="40" t="inlineStr"/>
      <c r="AA39" s="39" t="inlineStr"/>
      <c r="AB39" s="39" t="inlineStr"/>
      <c r="AC39" s="39" t="inlineStr"/>
      <c r="AD39" s="39" t="inlineStr"/>
      <c r="AE39" s="40" t="inlineStr"/>
      <c r="AF39" s="39" t="inlineStr"/>
      <c r="AG39" s="39" t="inlineStr"/>
      <c r="AH39" s="39" t="inlineStr"/>
      <c r="AI39" s="39" t="inlineStr"/>
      <c r="AJ39" s="40" t="inlineStr"/>
    </row>
    <row r="40">
      <c r="A40" s="37" t="n">
        <v>35</v>
      </c>
      <c r="B40" s="31">
        <f>IF(INDEX(Klassenliste!$B$6:$B$40,35)=0,"",INDEX(Klassenliste!$B$6:$B$40,35))</f>
        <v/>
      </c>
      <c r="C40" s="31">
        <f>IF(INDEX(Klassenliste!$C$6:$C$40,35)=0,"",INDEX(Klassenliste!$C$6:$C$40,35))</f>
        <v/>
      </c>
      <c r="D40" s="19">
        <f>IF($B40="","",COUNTIF(G40:AJ40,"*M*"))</f>
        <v/>
      </c>
      <c r="E40" s="19">
        <f>IF($B40="","",COUNTIF(G40:AJ40,"*L*"))</f>
        <v/>
      </c>
      <c r="F40" s="38">
        <f>IF($B40="","",COUNTIF(G40:AJ40,"*i*"))</f>
        <v/>
      </c>
      <c r="G40" s="39" t="inlineStr"/>
      <c r="H40" s="39" t="inlineStr"/>
      <c r="I40" s="39" t="inlineStr"/>
      <c r="J40" s="39" t="inlineStr"/>
      <c r="K40" s="40" t="inlineStr"/>
      <c r="L40" s="39" t="inlineStr"/>
      <c r="M40" s="39" t="inlineStr"/>
      <c r="N40" s="39" t="inlineStr"/>
      <c r="O40" s="39" t="inlineStr"/>
      <c r="P40" s="40" t="inlineStr"/>
      <c r="Q40" s="39" t="inlineStr"/>
      <c r="R40" s="39" t="inlineStr"/>
      <c r="S40" s="39" t="inlineStr"/>
      <c r="T40" s="39" t="inlineStr"/>
      <c r="U40" s="40" t="inlineStr"/>
      <c r="V40" s="39" t="inlineStr"/>
      <c r="W40" s="39" t="inlineStr"/>
      <c r="X40" s="39" t="inlineStr"/>
      <c r="Y40" s="39" t="inlineStr"/>
      <c r="Z40" s="40" t="inlineStr"/>
      <c r="AA40" s="39" t="inlineStr"/>
      <c r="AB40" s="39" t="inlineStr"/>
      <c r="AC40" s="39" t="inlineStr"/>
      <c r="AD40" s="39" t="inlineStr"/>
      <c r="AE40" s="40" t="inlineStr"/>
      <c r="AF40" s="39" t="inlineStr"/>
      <c r="AG40" s="39" t="inlineStr"/>
      <c r="AH40" s="39" t="inlineStr"/>
      <c r="AI40" s="39" t="inlineStr"/>
      <c r="AJ40" s="40" t="inlineStr"/>
    </row>
  </sheetData>
  <sheetProtection selectLockedCells="0" selectUnlockedCells="0" sheet="1" objects="0" insertRows="1" insertHyperlinks="1" autoFilter="1" scenarios="0" formatColumns="0" deleteColumns="1" insertColumns="0" pivotTables="1" deleteRows="1" formatCells="1" formatRows="0" sort="1"/>
  <mergeCells count="1">
    <mergeCell ref="A1:AI1"/>
  </mergeCells>
  <conditionalFormatting sqref="A6:AJ40">
    <cfRule type="expression" priority="1" dxfId="1" stopIfTrue="1">
      <formula>$B6=""</formula>
    </cfRule>
  </conditionalFormatting>
  <conditionalFormatting sqref="G4:AJ4">
    <cfRule type="expression" priority="2" dxfId="4">
      <formula>G$4=TODAY()</formula>
    </cfRule>
  </conditionalFormatting>
  <dataValidations count="1">
    <dataValidation sqref="G6:AJ40" showDropDown="0" showInputMessage="0" showErrorMessage="0" allowBlank="1" type="list">
      <formula1>"M,L,i,ML,Mi,Li,MLi"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tabColor rgb="006E8FA0"/>
    <outlinePr summaryBelow="1" summaryRight="1"/>
    <pageSetUpPr fitToPage="1"/>
  </sheetPr>
  <dimension ref="A1:AB41"/>
  <sheetViews>
    <sheetView showGridLines="0" zoomScale="10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7" customWidth="1" min="16" max="16"/>
    <col width="7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7" customWidth="1" min="26" max="26"/>
    <col width="7" customWidth="1" min="27" max="27"/>
    <col width="7" customWidth="1" min="28" max="28"/>
  </cols>
  <sheetData>
    <row r="1" ht="26" customHeight="1">
      <c r="A1" s="1" t="inlineStr">
        <is>
          <t>Notenübersicht 2. Halbjahr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8">
        <f>HYPERLINK("#Start!A1","⌂")</f>
        <v/>
      </c>
    </row>
    <row r="2" ht="14" customHeight="1">
      <c r="A2" s="12">
        <f>Klassenliste!$E$2&amp;"  ·  "&amp;Klassenliste!$J$2&amp;"  ·  "&amp;Klassenliste!$H$2&amp;""</f>
        <v/>
      </c>
      <c r="L2" s="12" t="inlineStr">
        <is>
          <t>Einheit: Notenpunkte (0–15) · leere Zellen zählen nicht · Zeile 5 über m1–m6: frei beschriften (SoMi, Referat, Kurztest …)</t>
        </is>
      </c>
    </row>
    <row r="3" ht="15" customHeight="1">
      <c r="D3" s="41" t="inlineStr">
        <is>
          <t>Quartalsnoten</t>
        </is>
      </c>
      <c r="E3" s="15" t="n"/>
      <c r="F3" s="41" t="inlineStr">
        <is>
          <t>Quartal 1  ·  S = schriftlich (KA)  ·  MA = Mitarbeit</t>
        </is>
      </c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41" t="inlineStr">
        <is>
          <t>Quartal 2</t>
        </is>
      </c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41" t="inlineStr">
        <is>
          <t>Halbjahr</t>
        </is>
      </c>
      <c r="AA3" s="15" t="n"/>
      <c r="AB3" s="15" t="n"/>
    </row>
    <row r="4">
      <c r="C4" s="12" t="inlineStr">
        <is>
          <t>Gewichtung:</t>
        </is>
      </c>
      <c r="D4" s="42" t="n">
        <v>1</v>
      </c>
      <c r="E4" s="42" t="n">
        <v>1</v>
      </c>
      <c r="F4" s="42" t="n">
        <v>1</v>
      </c>
      <c r="G4" s="42" t="n">
        <v>1</v>
      </c>
      <c r="H4" s="42" t="n">
        <v>1</v>
      </c>
      <c r="I4" s="42" t="n">
        <v>1</v>
      </c>
      <c r="J4" s="42" t="n">
        <v>1</v>
      </c>
      <c r="K4" s="42" t="n">
        <v>1</v>
      </c>
      <c r="L4" s="42" t="n">
        <v>1</v>
      </c>
      <c r="M4" s="42" t="n">
        <v>1</v>
      </c>
      <c r="N4" s="42" t="n">
        <v>1</v>
      </c>
      <c r="O4" s="42" t="n">
        <v>1</v>
      </c>
      <c r="P4" s="42" t="n">
        <v>1</v>
      </c>
      <c r="Q4" s="42" t="n">
        <v>1</v>
      </c>
      <c r="R4" s="42" t="n">
        <v>1</v>
      </c>
      <c r="S4" s="42" t="n">
        <v>1</v>
      </c>
      <c r="T4" s="42" t="n">
        <v>1</v>
      </c>
      <c r="U4" s="42" t="n">
        <v>1</v>
      </c>
      <c r="V4" s="42" t="n">
        <v>1</v>
      </c>
      <c r="W4" s="42" t="n">
        <v>1</v>
      </c>
      <c r="X4" s="42" t="n">
        <v>1</v>
      </c>
      <c r="Y4" s="42" t="n">
        <v>1</v>
      </c>
    </row>
    <row r="5" ht="30" customHeight="1">
      <c r="C5" s="12" t="inlineStr">
        <is>
          <t>KA-Nr:</t>
        </is>
      </c>
      <c r="G5" s="43" t="n">
        <v>4</v>
      </c>
      <c r="H5" s="43" t="inlineStr"/>
      <c r="I5" s="12" t="inlineStr">
        <is>
          <t>Art →</t>
        </is>
      </c>
      <c r="J5" s="44" t="inlineStr"/>
      <c r="K5" s="44" t="inlineStr"/>
      <c r="L5" s="44" t="inlineStr"/>
      <c r="M5" s="44" t="inlineStr"/>
      <c r="N5" s="44" t="inlineStr"/>
      <c r="O5" s="44" t="inlineStr"/>
      <c r="Q5" s="43" t="n">
        <v>5</v>
      </c>
      <c r="R5" s="43" t="n">
        <v>6</v>
      </c>
      <c r="S5" s="12" t="inlineStr">
        <is>
          <t>Art →</t>
        </is>
      </c>
      <c r="T5" s="44" t="inlineStr"/>
      <c r="U5" s="44" t="inlineStr"/>
      <c r="V5" s="44" t="inlineStr"/>
      <c r="W5" s="44" t="inlineStr"/>
      <c r="X5" s="44" t="inlineStr"/>
      <c r="Y5" s="44" t="inlineStr"/>
    </row>
    <row r="6" ht="18" customHeight="1">
      <c r="A6" s="17" t="inlineStr">
        <is>
          <t>Nr</t>
        </is>
      </c>
      <c r="B6" s="18" t="inlineStr">
        <is>
          <t>Name</t>
        </is>
      </c>
      <c r="C6" s="18" t="inlineStr">
        <is>
          <t>Vorname</t>
        </is>
      </c>
      <c r="D6" s="45" t="inlineStr">
        <is>
          <t>Q1</t>
        </is>
      </c>
      <c r="E6" s="17" t="inlineStr">
        <is>
          <t>Q2</t>
        </is>
      </c>
      <c r="F6" s="45" t="inlineStr">
        <is>
          <t>S (Q1)</t>
        </is>
      </c>
      <c r="G6" s="17">
        <f>IF(G$5="","(frei)","KA "&amp;G$5)</f>
        <v/>
      </c>
      <c r="H6" s="17">
        <f>IF(H$5="","(frei)","KA "&amp;H$5)</f>
        <v/>
      </c>
      <c r="I6" s="17" t="inlineStr">
        <is>
          <t>MA (Q1)</t>
        </is>
      </c>
      <c r="J6" s="46" t="inlineStr">
        <is>
          <t>m1</t>
        </is>
      </c>
      <c r="K6" s="46" t="inlineStr">
        <is>
          <t>m2</t>
        </is>
      </c>
      <c r="L6" s="46" t="inlineStr">
        <is>
          <t>m3</t>
        </is>
      </c>
      <c r="M6" s="46" t="inlineStr">
        <is>
          <t>m4</t>
        </is>
      </c>
      <c r="N6" s="46" t="inlineStr">
        <is>
          <t>m5</t>
        </is>
      </c>
      <c r="O6" s="46" t="inlineStr">
        <is>
          <t>m6</t>
        </is>
      </c>
      <c r="P6" s="45" t="inlineStr">
        <is>
          <t>S (Q2)</t>
        </is>
      </c>
      <c r="Q6" s="17">
        <f>IF(Q$5="","(frei)","KA "&amp;Q$5)</f>
        <v/>
      </c>
      <c r="R6" s="17">
        <f>IF(R$5="","(frei)","KA "&amp;R$5)</f>
        <v/>
      </c>
      <c r="S6" s="17" t="inlineStr">
        <is>
          <t>MA (Q2)</t>
        </is>
      </c>
      <c r="T6" s="46" t="inlineStr">
        <is>
          <t>m1</t>
        </is>
      </c>
      <c r="U6" s="46" t="inlineStr">
        <is>
          <t>m2</t>
        </is>
      </c>
      <c r="V6" s="46" t="inlineStr">
        <is>
          <t>m3</t>
        </is>
      </c>
      <c r="W6" s="46" t="inlineStr">
        <is>
          <t>m4</t>
        </is>
      </c>
      <c r="X6" s="46" t="inlineStr">
        <is>
          <t>m5</t>
        </is>
      </c>
      <c r="Y6" s="46" t="inlineStr">
        <is>
          <t>m6</t>
        </is>
      </c>
      <c r="Z6" s="45" t="inlineStr">
        <is>
          <t>HJ Ø</t>
        </is>
      </c>
      <c r="AA6" s="17" t="inlineStr">
        <is>
          <t>HJ Pkt</t>
        </is>
      </c>
      <c r="AB6" s="17" t="inlineStr">
        <is>
          <t>Note</t>
        </is>
      </c>
    </row>
    <row r="7">
      <c r="A7" s="37" t="n">
        <v>1</v>
      </c>
      <c r="B7" s="31">
        <f>IF(INDEX(Klassenliste!$B$6:$B$40,1)=0,"",INDEX(Klassenliste!$B$6:$B$40,1))</f>
        <v/>
      </c>
      <c r="C7" s="31">
        <f>IF(INDEX(Klassenliste!$C$6:$C$40,1)=0,"",INDEX(Klassenliste!$C$6:$C$40,1))</f>
        <v/>
      </c>
      <c r="D7" s="47">
        <f>IF(((--ISNUMBER(F7))*$F$4+(--ISNUMBER(I7))*$I$4)=0,"",(IFERROR(F7*$F$4,0)+IFERROR(I7*$I$4,0))/((--ISNUMBER(F7))*$F$4+(--ISNUMBER(I7))*$I$4))</f>
        <v/>
      </c>
      <c r="E7" s="48">
        <f>IF(((--ISNUMBER(P7))*$P$4+(--ISNUMBER(S7))*$S$4)=0,"",(IFERROR(P7*$P$4,0)+IFERROR(S7*$S$4,0))/((--ISNUMBER(P7))*$P$4+(--ISNUMBER(S7))*$S$4))</f>
        <v/>
      </c>
      <c r="F7" s="47">
        <f>IF(SUMPRODUCT(--ISNUMBER(G7:H7),$G$4:$H$4)=0,"",SUMPRODUCT(G7:H7,$G$4:$H$4)/SUMPRODUCT(--ISNUMBER(G7:H7),$G$4:$H$4))</f>
        <v/>
      </c>
      <c r="G7" s="19">
        <f>IF(G$5="","",CHOOSE(G$5,KA1!$R8,KA2!$R8,KA3!$R8,KA4!$R8,KA5!$R8,KA6!$R8))</f>
        <v/>
      </c>
      <c r="H7" s="19">
        <f>IF(H$5="","",CHOOSE(H$5,KA1!$R8,KA2!$R8,KA3!$R8,KA4!$R8,KA5!$R8,KA6!$R8))</f>
        <v/>
      </c>
      <c r="I7" s="48">
        <f>IF(SUMPRODUCT(--ISNUMBER(J7:O7),$J$4:$O$4)=0,"",SUMPRODUCT(J7:O7,$J$4:$O$4)/SUMPRODUCT(--ISNUMBER(J7:O7),$J$4:$O$4))</f>
        <v/>
      </c>
      <c r="J7" s="49" t="inlineStr"/>
      <c r="K7" s="49" t="inlineStr"/>
      <c r="L7" s="49" t="inlineStr"/>
      <c r="M7" s="49" t="inlineStr"/>
      <c r="N7" s="49" t="inlineStr"/>
      <c r="O7" s="49" t="inlineStr"/>
      <c r="P7" s="47">
        <f>IF(SUMPRODUCT(--ISNUMBER(Q7:R7),$Q$4:$R$4)=0,"",SUMPRODUCT(Q7:R7,$Q$4:$R$4)/SUMPRODUCT(--ISNUMBER(Q7:R7),$Q$4:$R$4))</f>
        <v/>
      </c>
      <c r="Q7" s="19">
        <f>IF(Q$5="","",CHOOSE(Q$5,KA1!$R8,KA2!$R8,KA3!$R8,KA4!$R8,KA5!$R8,KA6!$R8))</f>
        <v/>
      </c>
      <c r="R7" s="19">
        <f>IF(R$5="","",CHOOSE(R$5,KA1!$R8,KA2!$R8,KA3!$R8,KA4!$R8,KA5!$R8,KA6!$R8))</f>
        <v/>
      </c>
      <c r="S7" s="48">
        <f>IF(SUMPRODUCT(--ISNUMBER(T7:Y7),$T$4:$Y$4)=0,"",SUMPRODUCT(T7:Y7,$T$4:$Y$4)/SUMPRODUCT(--ISNUMBER(T7:Y7),$T$4:$Y$4))</f>
        <v/>
      </c>
      <c r="T7" s="49" t="inlineStr"/>
      <c r="U7" s="49" t="inlineStr"/>
      <c r="V7" s="49" t="inlineStr"/>
      <c r="W7" s="49" t="inlineStr"/>
      <c r="X7" s="49" t="inlineStr"/>
      <c r="Y7" s="49" t="inlineStr"/>
      <c r="Z7" s="47">
        <f>IF(((--ISNUMBER(D7))*$D$4+(--ISNUMBER(E7))*$E$4)=0,"",(IFERROR(D7*$D$4,0)+IFERROR(E7*$E$4,0))/((--ISNUMBER(D7))*$D$4+(--ISNUMBER(E7))*$E$4))</f>
        <v/>
      </c>
      <c r="AA7" s="50">
        <f>IF(Z7="","",ROUND(Z7,0))</f>
        <v/>
      </c>
      <c r="AB7" s="22">
        <f>IF(AA7="","",INDEX(Notentabelle!$B$4:$B$19,AA7+1))</f>
        <v/>
      </c>
    </row>
    <row r="8">
      <c r="A8" s="37" t="n">
        <v>2</v>
      </c>
      <c r="B8" s="31">
        <f>IF(INDEX(Klassenliste!$B$6:$B$40,2)=0,"",INDEX(Klassenliste!$B$6:$B$40,2))</f>
        <v/>
      </c>
      <c r="C8" s="31">
        <f>IF(INDEX(Klassenliste!$C$6:$C$40,2)=0,"",INDEX(Klassenliste!$C$6:$C$40,2))</f>
        <v/>
      </c>
      <c r="D8" s="47">
        <f>IF(((--ISNUMBER(F8))*$F$4+(--ISNUMBER(I8))*$I$4)=0,"",(IFERROR(F8*$F$4,0)+IFERROR(I8*$I$4,0))/((--ISNUMBER(F8))*$F$4+(--ISNUMBER(I8))*$I$4))</f>
        <v/>
      </c>
      <c r="E8" s="48">
        <f>IF(((--ISNUMBER(P8))*$P$4+(--ISNUMBER(S8))*$S$4)=0,"",(IFERROR(P8*$P$4,0)+IFERROR(S8*$S$4,0))/((--ISNUMBER(P8))*$P$4+(--ISNUMBER(S8))*$S$4))</f>
        <v/>
      </c>
      <c r="F8" s="47">
        <f>IF(SUMPRODUCT(--ISNUMBER(G8:H8),$G$4:$H$4)=0,"",SUMPRODUCT(G8:H8,$G$4:$H$4)/SUMPRODUCT(--ISNUMBER(G8:H8),$G$4:$H$4))</f>
        <v/>
      </c>
      <c r="G8" s="19">
        <f>IF(G$5="","",CHOOSE(G$5,KA1!$R9,KA2!$R9,KA3!$R9,KA4!$R9,KA5!$R9,KA6!$R9))</f>
        <v/>
      </c>
      <c r="H8" s="19">
        <f>IF(H$5="","",CHOOSE(H$5,KA1!$R9,KA2!$R9,KA3!$R9,KA4!$R9,KA5!$R9,KA6!$R9))</f>
        <v/>
      </c>
      <c r="I8" s="48">
        <f>IF(SUMPRODUCT(--ISNUMBER(J8:O8),$J$4:$O$4)=0,"",SUMPRODUCT(J8:O8,$J$4:$O$4)/SUMPRODUCT(--ISNUMBER(J8:O8),$J$4:$O$4))</f>
        <v/>
      </c>
      <c r="J8" s="49" t="inlineStr"/>
      <c r="K8" s="49" t="inlineStr"/>
      <c r="L8" s="49" t="inlineStr"/>
      <c r="M8" s="49" t="inlineStr"/>
      <c r="N8" s="49" t="inlineStr"/>
      <c r="O8" s="49" t="inlineStr"/>
      <c r="P8" s="47">
        <f>IF(SUMPRODUCT(--ISNUMBER(Q8:R8),$Q$4:$R$4)=0,"",SUMPRODUCT(Q8:R8,$Q$4:$R$4)/SUMPRODUCT(--ISNUMBER(Q8:R8),$Q$4:$R$4))</f>
        <v/>
      </c>
      <c r="Q8" s="19">
        <f>IF(Q$5="","",CHOOSE(Q$5,KA1!$R9,KA2!$R9,KA3!$R9,KA4!$R9,KA5!$R9,KA6!$R9))</f>
        <v/>
      </c>
      <c r="R8" s="19">
        <f>IF(R$5="","",CHOOSE(R$5,KA1!$R9,KA2!$R9,KA3!$R9,KA4!$R9,KA5!$R9,KA6!$R9))</f>
        <v/>
      </c>
      <c r="S8" s="48">
        <f>IF(SUMPRODUCT(--ISNUMBER(T8:Y8),$T$4:$Y$4)=0,"",SUMPRODUCT(T8:Y8,$T$4:$Y$4)/SUMPRODUCT(--ISNUMBER(T8:Y8),$T$4:$Y$4))</f>
        <v/>
      </c>
      <c r="T8" s="49" t="inlineStr"/>
      <c r="U8" s="49" t="inlineStr"/>
      <c r="V8" s="49" t="inlineStr"/>
      <c r="W8" s="49" t="inlineStr"/>
      <c r="X8" s="49" t="inlineStr"/>
      <c r="Y8" s="49" t="inlineStr"/>
      <c r="Z8" s="47">
        <f>IF(((--ISNUMBER(D8))*$D$4+(--ISNUMBER(E8))*$E$4)=0,"",(IFERROR(D8*$D$4,0)+IFERROR(E8*$E$4,0))/((--ISNUMBER(D8))*$D$4+(--ISNUMBER(E8))*$E$4))</f>
        <v/>
      </c>
      <c r="AA8" s="50">
        <f>IF(Z8="","",ROUND(Z8,0))</f>
        <v/>
      </c>
      <c r="AB8" s="22">
        <f>IF(AA8="","",INDEX(Notentabelle!$B$4:$B$19,AA8+1))</f>
        <v/>
      </c>
    </row>
    <row r="9">
      <c r="A9" s="37" t="n">
        <v>3</v>
      </c>
      <c r="B9" s="31">
        <f>IF(INDEX(Klassenliste!$B$6:$B$40,3)=0,"",INDEX(Klassenliste!$B$6:$B$40,3))</f>
        <v/>
      </c>
      <c r="C9" s="31">
        <f>IF(INDEX(Klassenliste!$C$6:$C$40,3)=0,"",INDEX(Klassenliste!$C$6:$C$40,3))</f>
        <v/>
      </c>
      <c r="D9" s="47">
        <f>IF(((--ISNUMBER(F9))*$F$4+(--ISNUMBER(I9))*$I$4)=0,"",(IFERROR(F9*$F$4,0)+IFERROR(I9*$I$4,0))/((--ISNUMBER(F9))*$F$4+(--ISNUMBER(I9))*$I$4))</f>
        <v/>
      </c>
      <c r="E9" s="48">
        <f>IF(((--ISNUMBER(P9))*$P$4+(--ISNUMBER(S9))*$S$4)=0,"",(IFERROR(P9*$P$4,0)+IFERROR(S9*$S$4,0))/((--ISNUMBER(P9))*$P$4+(--ISNUMBER(S9))*$S$4))</f>
        <v/>
      </c>
      <c r="F9" s="47">
        <f>IF(SUMPRODUCT(--ISNUMBER(G9:H9),$G$4:$H$4)=0,"",SUMPRODUCT(G9:H9,$G$4:$H$4)/SUMPRODUCT(--ISNUMBER(G9:H9),$G$4:$H$4))</f>
        <v/>
      </c>
      <c r="G9" s="19">
        <f>IF(G$5="","",CHOOSE(G$5,KA1!$R10,KA2!$R10,KA3!$R10,KA4!$R10,KA5!$R10,KA6!$R10))</f>
        <v/>
      </c>
      <c r="H9" s="19">
        <f>IF(H$5="","",CHOOSE(H$5,KA1!$R10,KA2!$R10,KA3!$R10,KA4!$R10,KA5!$R10,KA6!$R10))</f>
        <v/>
      </c>
      <c r="I9" s="48">
        <f>IF(SUMPRODUCT(--ISNUMBER(J9:O9),$J$4:$O$4)=0,"",SUMPRODUCT(J9:O9,$J$4:$O$4)/SUMPRODUCT(--ISNUMBER(J9:O9),$J$4:$O$4))</f>
        <v/>
      </c>
      <c r="J9" s="49" t="inlineStr"/>
      <c r="K9" s="49" t="inlineStr"/>
      <c r="L9" s="49" t="inlineStr"/>
      <c r="M9" s="49" t="inlineStr"/>
      <c r="N9" s="49" t="inlineStr"/>
      <c r="O9" s="49" t="inlineStr"/>
      <c r="P9" s="47">
        <f>IF(SUMPRODUCT(--ISNUMBER(Q9:R9),$Q$4:$R$4)=0,"",SUMPRODUCT(Q9:R9,$Q$4:$R$4)/SUMPRODUCT(--ISNUMBER(Q9:R9),$Q$4:$R$4))</f>
        <v/>
      </c>
      <c r="Q9" s="19">
        <f>IF(Q$5="","",CHOOSE(Q$5,KA1!$R10,KA2!$R10,KA3!$R10,KA4!$R10,KA5!$R10,KA6!$R10))</f>
        <v/>
      </c>
      <c r="R9" s="19">
        <f>IF(R$5="","",CHOOSE(R$5,KA1!$R10,KA2!$R10,KA3!$R10,KA4!$R10,KA5!$R10,KA6!$R10))</f>
        <v/>
      </c>
      <c r="S9" s="48">
        <f>IF(SUMPRODUCT(--ISNUMBER(T9:Y9),$T$4:$Y$4)=0,"",SUMPRODUCT(T9:Y9,$T$4:$Y$4)/SUMPRODUCT(--ISNUMBER(T9:Y9),$T$4:$Y$4))</f>
        <v/>
      </c>
      <c r="T9" s="49" t="inlineStr"/>
      <c r="U9" s="49" t="inlineStr"/>
      <c r="V9" s="49" t="inlineStr"/>
      <c r="W9" s="49" t="inlineStr"/>
      <c r="X9" s="49" t="inlineStr"/>
      <c r="Y9" s="49" t="inlineStr"/>
      <c r="Z9" s="47">
        <f>IF(((--ISNUMBER(D9))*$D$4+(--ISNUMBER(E9))*$E$4)=0,"",(IFERROR(D9*$D$4,0)+IFERROR(E9*$E$4,0))/((--ISNUMBER(D9))*$D$4+(--ISNUMBER(E9))*$E$4))</f>
        <v/>
      </c>
      <c r="AA9" s="50">
        <f>IF(Z9="","",ROUND(Z9,0))</f>
        <v/>
      </c>
      <c r="AB9" s="22">
        <f>IF(AA9="","",INDEX(Notentabelle!$B$4:$B$19,AA9+1))</f>
        <v/>
      </c>
    </row>
    <row r="10">
      <c r="A10" s="37" t="n">
        <v>4</v>
      </c>
      <c r="B10" s="31">
        <f>IF(INDEX(Klassenliste!$B$6:$B$40,4)=0,"",INDEX(Klassenliste!$B$6:$B$40,4))</f>
        <v/>
      </c>
      <c r="C10" s="31">
        <f>IF(INDEX(Klassenliste!$C$6:$C$40,4)=0,"",INDEX(Klassenliste!$C$6:$C$40,4))</f>
        <v/>
      </c>
      <c r="D10" s="47">
        <f>IF(((--ISNUMBER(F10))*$F$4+(--ISNUMBER(I10))*$I$4)=0,"",(IFERROR(F10*$F$4,0)+IFERROR(I10*$I$4,0))/((--ISNUMBER(F10))*$F$4+(--ISNUMBER(I10))*$I$4))</f>
        <v/>
      </c>
      <c r="E10" s="48">
        <f>IF(((--ISNUMBER(P10))*$P$4+(--ISNUMBER(S10))*$S$4)=0,"",(IFERROR(P10*$P$4,0)+IFERROR(S10*$S$4,0))/((--ISNUMBER(P10))*$P$4+(--ISNUMBER(S10))*$S$4))</f>
        <v/>
      </c>
      <c r="F10" s="47">
        <f>IF(SUMPRODUCT(--ISNUMBER(G10:H10),$G$4:$H$4)=0,"",SUMPRODUCT(G10:H10,$G$4:$H$4)/SUMPRODUCT(--ISNUMBER(G10:H10),$G$4:$H$4))</f>
        <v/>
      </c>
      <c r="G10" s="19">
        <f>IF(G$5="","",CHOOSE(G$5,KA1!$R11,KA2!$R11,KA3!$R11,KA4!$R11,KA5!$R11,KA6!$R11))</f>
        <v/>
      </c>
      <c r="H10" s="19">
        <f>IF(H$5="","",CHOOSE(H$5,KA1!$R11,KA2!$R11,KA3!$R11,KA4!$R11,KA5!$R11,KA6!$R11))</f>
        <v/>
      </c>
      <c r="I10" s="48">
        <f>IF(SUMPRODUCT(--ISNUMBER(J10:O10),$J$4:$O$4)=0,"",SUMPRODUCT(J10:O10,$J$4:$O$4)/SUMPRODUCT(--ISNUMBER(J10:O10),$J$4:$O$4))</f>
        <v/>
      </c>
      <c r="J10" s="49" t="inlineStr"/>
      <c r="K10" s="49" t="inlineStr"/>
      <c r="L10" s="49" t="inlineStr"/>
      <c r="M10" s="49" t="inlineStr"/>
      <c r="N10" s="49" t="inlineStr"/>
      <c r="O10" s="49" t="inlineStr"/>
      <c r="P10" s="47">
        <f>IF(SUMPRODUCT(--ISNUMBER(Q10:R10),$Q$4:$R$4)=0,"",SUMPRODUCT(Q10:R10,$Q$4:$R$4)/SUMPRODUCT(--ISNUMBER(Q10:R10),$Q$4:$R$4))</f>
        <v/>
      </c>
      <c r="Q10" s="19">
        <f>IF(Q$5="","",CHOOSE(Q$5,KA1!$R11,KA2!$R11,KA3!$R11,KA4!$R11,KA5!$R11,KA6!$R11))</f>
        <v/>
      </c>
      <c r="R10" s="19">
        <f>IF(R$5="","",CHOOSE(R$5,KA1!$R11,KA2!$R11,KA3!$R11,KA4!$R11,KA5!$R11,KA6!$R11))</f>
        <v/>
      </c>
      <c r="S10" s="48">
        <f>IF(SUMPRODUCT(--ISNUMBER(T10:Y10),$T$4:$Y$4)=0,"",SUMPRODUCT(T10:Y10,$T$4:$Y$4)/SUMPRODUCT(--ISNUMBER(T10:Y10),$T$4:$Y$4))</f>
        <v/>
      </c>
      <c r="T10" s="49" t="inlineStr"/>
      <c r="U10" s="49" t="inlineStr"/>
      <c r="V10" s="49" t="inlineStr"/>
      <c r="W10" s="49" t="inlineStr"/>
      <c r="X10" s="49" t="inlineStr"/>
      <c r="Y10" s="49" t="inlineStr"/>
      <c r="Z10" s="47">
        <f>IF(((--ISNUMBER(D10))*$D$4+(--ISNUMBER(E10))*$E$4)=0,"",(IFERROR(D10*$D$4,0)+IFERROR(E10*$E$4,0))/((--ISNUMBER(D10))*$D$4+(--ISNUMBER(E10))*$E$4))</f>
        <v/>
      </c>
      <c r="AA10" s="50">
        <f>IF(Z10="","",ROUND(Z10,0))</f>
        <v/>
      </c>
      <c r="AB10" s="22">
        <f>IF(AA10="","",INDEX(Notentabelle!$B$4:$B$19,AA10+1))</f>
        <v/>
      </c>
    </row>
    <row r="11">
      <c r="A11" s="37" t="n">
        <v>5</v>
      </c>
      <c r="B11" s="31">
        <f>IF(INDEX(Klassenliste!$B$6:$B$40,5)=0,"",INDEX(Klassenliste!$B$6:$B$40,5))</f>
        <v/>
      </c>
      <c r="C11" s="31">
        <f>IF(INDEX(Klassenliste!$C$6:$C$40,5)=0,"",INDEX(Klassenliste!$C$6:$C$40,5))</f>
        <v/>
      </c>
      <c r="D11" s="47">
        <f>IF(((--ISNUMBER(F11))*$F$4+(--ISNUMBER(I11))*$I$4)=0,"",(IFERROR(F11*$F$4,0)+IFERROR(I11*$I$4,0))/((--ISNUMBER(F11))*$F$4+(--ISNUMBER(I11))*$I$4))</f>
        <v/>
      </c>
      <c r="E11" s="48">
        <f>IF(((--ISNUMBER(P11))*$P$4+(--ISNUMBER(S11))*$S$4)=0,"",(IFERROR(P11*$P$4,0)+IFERROR(S11*$S$4,0))/((--ISNUMBER(P11))*$P$4+(--ISNUMBER(S11))*$S$4))</f>
        <v/>
      </c>
      <c r="F11" s="47">
        <f>IF(SUMPRODUCT(--ISNUMBER(G11:H11),$G$4:$H$4)=0,"",SUMPRODUCT(G11:H11,$G$4:$H$4)/SUMPRODUCT(--ISNUMBER(G11:H11),$G$4:$H$4))</f>
        <v/>
      </c>
      <c r="G11" s="19">
        <f>IF(G$5="","",CHOOSE(G$5,KA1!$R12,KA2!$R12,KA3!$R12,KA4!$R12,KA5!$R12,KA6!$R12))</f>
        <v/>
      </c>
      <c r="H11" s="19">
        <f>IF(H$5="","",CHOOSE(H$5,KA1!$R12,KA2!$R12,KA3!$R12,KA4!$R12,KA5!$R12,KA6!$R12))</f>
        <v/>
      </c>
      <c r="I11" s="48">
        <f>IF(SUMPRODUCT(--ISNUMBER(J11:O11),$J$4:$O$4)=0,"",SUMPRODUCT(J11:O11,$J$4:$O$4)/SUMPRODUCT(--ISNUMBER(J11:O11),$J$4:$O$4))</f>
        <v/>
      </c>
      <c r="J11" s="49" t="inlineStr"/>
      <c r="K11" s="49" t="inlineStr"/>
      <c r="L11" s="49" t="inlineStr"/>
      <c r="M11" s="49" t="inlineStr"/>
      <c r="N11" s="49" t="inlineStr"/>
      <c r="O11" s="49" t="inlineStr"/>
      <c r="P11" s="47">
        <f>IF(SUMPRODUCT(--ISNUMBER(Q11:R11),$Q$4:$R$4)=0,"",SUMPRODUCT(Q11:R11,$Q$4:$R$4)/SUMPRODUCT(--ISNUMBER(Q11:R11),$Q$4:$R$4))</f>
        <v/>
      </c>
      <c r="Q11" s="19">
        <f>IF(Q$5="","",CHOOSE(Q$5,KA1!$R12,KA2!$R12,KA3!$R12,KA4!$R12,KA5!$R12,KA6!$R12))</f>
        <v/>
      </c>
      <c r="R11" s="19">
        <f>IF(R$5="","",CHOOSE(R$5,KA1!$R12,KA2!$R12,KA3!$R12,KA4!$R12,KA5!$R12,KA6!$R12))</f>
        <v/>
      </c>
      <c r="S11" s="48">
        <f>IF(SUMPRODUCT(--ISNUMBER(T11:Y11),$T$4:$Y$4)=0,"",SUMPRODUCT(T11:Y11,$T$4:$Y$4)/SUMPRODUCT(--ISNUMBER(T11:Y11),$T$4:$Y$4))</f>
        <v/>
      </c>
      <c r="T11" s="49" t="inlineStr"/>
      <c r="U11" s="49" t="inlineStr"/>
      <c r="V11" s="49" t="inlineStr"/>
      <c r="W11" s="49" t="inlineStr"/>
      <c r="X11" s="49" t="inlineStr"/>
      <c r="Y11" s="49" t="inlineStr"/>
      <c r="Z11" s="47">
        <f>IF(((--ISNUMBER(D11))*$D$4+(--ISNUMBER(E11))*$E$4)=0,"",(IFERROR(D11*$D$4,0)+IFERROR(E11*$E$4,0))/((--ISNUMBER(D11))*$D$4+(--ISNUMBER(E11))*$E$4))</f>
        <v/>
      </c>
      <c r="AA11" s="50">
        <f>IF(Z11="","",ROUND(Z11,0))</f>
        <v/>
      </c>
      <c r="AB11" s="22">
        <f>IF(AA11="","",INDEX(Notentabelle!$B$4:$B$19,AA11+1))</f>
        <v/>
      </c>
    </row>
    <row r="12">
      <c r="A12" s="37" t="n">
        <v>6</v>
      </c>
      <c r="B12" s="31">
        <f>IF(INDEX(Klassenliste!$B$6:$B$40,6)=0,"",INDEX(Klassenliste!$B$6:$B$40,6))</f>
        <v/>
      </c>
      <c r="C12" s="31">
        <f>IF(INDEX(Klassenliste!$C$6:$C$40,6)=0,"",INDEX(Klassenliste!$C$6:$C$40,6))</f>
        <v/>
      </c>
      <c r="D12" s="47">
        <f>IF(((--ISNUMBER(F12))*$F$4+(--ISNUMBER(I12))*$I$4)=0,"",(IFERROR(F12*$F$4,0)+IFERROR(I12*$I$4,0))/((--ISNUMBER(F12))*$F$4+(--ISNUMBER(I12))*$I$4))</f>
        <v/>
      </c>
      <c r="E12" s="48">
        <f>IF(((--ISNUMBER(P12))*$P$4+(--ISNUMBER(S12))*$S$4)=0,"",(IFERROR(P12*$P$4,0)+IFERROR(S12*$S$4,0))/((--ISNUMBER(P12))*$P$4+(--ISNUMBER(S12))*$S$4))</f>
        <v/>
      </c>
      <c r="F12" s="47">
        <f>IF(SUMPRODUCT(--ISNUMBER(G12:H12),$G$4:$H$4)=0,"",SUMPRODUCT(G12:H12,$G$4:$H$4)/SUMPRODUCT(--ISNUMBER(G12:H12),$G$4:$H$4))</f>
        <v/>
      </c>
      <c r="G12" s="19">
        <f>IF(G$5="","",CHOOSE(G$5,KA1!$R13,KA2!$R13,KA3!$R13,KA4!$R13,KA5!$R13,KA6!$R13))</f>
        <v/>
      </c>
      <c r="H12" s="19">
        <f>IF(H$5="","",CHOOSE(H$5,KA1!$R13,KA2!$R13,KA3!$R13,KA4!$R13,KA5!$R13,KA6!$R13))</f>
        <v/>
      </c>
      <c r="I12" s="48">
        <f>IF(SUMPRODUCT(--ISNUMBER(J12:O12),$J$4:$O$4)=0,"",SUMPRODUCT(J12:O12,$J$4:$O$4)/SUMPRODUCT(--ISNUMBER(J12:O12),$J$4:$O$4))</f>
        <v/>
      </c>
      <c r="J12" s="49" t="inlineStr"/>
      <c r="K12" s="49" t="inlineStr"/>
      <c r="L12" s="49" t="inlineStr"/>
      <c r="M12" s="49" t="inlineStr"/>
      <c r="N12" s="49" t="inlineStr"/>
      <c r="O12" s="49" t="inlineStr"/>
      <c r="P12" s="47">
        <f>IF(SUMPRODUCT(--ISNUMBER(Q12:R12),$Q$4:$R$4)=0,"",SUMPRODUCT(Q12:R12,$Q$4:$R$4)/SUMPRODUCT(--ISNUMBER(Q12:R12),$Q$4:$R$4))</f>
        <v/>
      </c>
      <c r="Q12" s="19">
        <f>IF(Q$5="","",CHOOSE(Q$5,KA1!$R13,KA2!$R13,KA3!$R13,KA4!$R13,KA5!$R13,KA6!$R13))</f>
        <v/>
      </c>
      <c r="R12" s="19">
        <f>IF(R$5="","",CHOOSE(R$5,KA1!$R13,KA2!$R13,KA3!$R13,KA4!$R13,KA5!$R13,KA6!$R13))</f>
        <v/>
      </c>
      <c r="S12" s="48">
        <f>IF(SUMPRODUCT(--ISNUMBER(T12:Y12),$T$4:$Y$4)=0,"",SUMPRODUCT(T12:Y12,$T$4:$Y$4)/SUMPRODUCT(--ISNUMBER(T12:Y12),$T$4:$Y$4))</f>
        <v/>
      </c>
      <c r="T12" s="49" t="inlineStr"/>
      <c r="U12" s="49" t="inlineStr"/>
      <c r="V12" s="49" t="inlineStr"/>
      <c r="W12" s="49" t="inlineStr"/>
      <c r="X12" s="49" t="inlineStr"/>
      <c r="Y12" s="49" t="inlineStr"/>
      <c r="Z12" s="47">
        <f>IF(((--ISNUMBER(D12))*$D$4+(--ISNUMBER(E12))*$E$4)=0,"",(IFERROR(D12*$D$4,0)+IFERROR(E12*$E$4,0))/((--ISNUMBER(D12))*$D$4+(--ISNUMBER(E12))*$E$4))</f>
        <v/>
      </c>
      <c r="AA12" s="50">
        <f>IF(Z12="","",ROUND(Z12,0))</f>
        <v/>
      </c>
      <c r="AB12" s="22">
        <f>IF(AA12="","",INDEX(Notentabelle!$B$4:$B$19,AA12+1))</f>
        <v/>
      </c>
    </row>
    <row r="13">
      <c r="A13" s="37" t="n">
        <v>7</v>
      </c>
      <c r="B13" s="31">
        <f>IF(INDEX(Klassenliste!$B$6:$B$40,7)=0,"",INDEX(Klassenliste!$B$6:$B$40,7))</f>
        <v/>
      </c>
      <c r="C13" s="31">
        <f>IF(INDEX(Klassenliste!$C$6:$C$40,7)=0,"",INDEX(Klassenliste!$C$6:$C$40,7))</f>
        <v/>
      </c>
      <c r="D13" s="47">
        <f>IF(((--ISNUMBER(F13))*$F$4+(--ISNUMBER(I13))*$I$4)=0,"",(IFERROR(F13*$F$4,0)+IFERROR(I13*$I$4,0))/((--ISNUMBER(F13))*$F$4+(--ISNUMBER(I13))*$I$4))</f>
        <v/>
      </c>
      <c r="E13" s="48">
        <f>IF(((--ISNUMBER(P13))*$P$4+(--ISNUMBER(S13))*$S$4)=0,"",(IFERROR(P13*$P$4,0)+IFERROR(S13*$S$4,0))/((--ISNUMBER(P13))*$P$4+(--ISNUMBER(S13))*$S$4))</f>
        <v/>
      </c>
      <c r="F13" s="47">
        <f>IF(SUMPRODUCT(--ISNUMBER(G13:H13),$G$4:$H$4)=0,"",SUMPRODUCT(G13:H13,$G$4:$H$4)/SUMPRODUCT(--ISNUMBER(G13:H13),$G$4:$H$4))</f>
        <v/>
      </c>
      <c r="G13" s="19">
        <f>IF(G$5="","",CHOOSE(G$5,KA1!$R14,KA2!$R14,KA3!$R14,KA4!$R14,KA5!$R14,KA6!$R14))</f>
        <v/>
      </c>
      <c r="H13" s="19">
        <f>IF(H$5="","",CHOOSE(H$5,KA1!$R14,KA2!$R14,KA3!$R14,KA4!$R14,KA5!$R14,KA6!$R14))</f>
        <v/>
      </c>
      <c r="I13" s="48">
        <f>IF(SUMPRODUCT(--ISNUMBER(J13:O13),$J$4:$O$4)=0,"",SUMPRODUCT(J13:O13,$J$4:$O$4)/SUMPRODUCT(--ISNUMBER(J13:O13),$J$4:$O$4))</f>
        <v/>
      </c>
      <c r="J13" s="49" t="inlineStr"/>
      <c r="K13" s="49" t="inlineStr"/>
      <c r="L13" s="49" t="inlineStr"/>
      <c r="M13" s="49" t="inlineStr"/>
      <c r="N13" s="49" t="inlineStr"/>
      <c r="O13" s="49" t="inlineStr"/>
      <c r="P13" s="47">
        <f>IF(SUMPRODUCT(--ISNUMBER(Q13:R13),$Q$4:$R$4)=0,"",SUMPRODUCT(Q13:R13,$Q$4:$R$4)/SUMPRODUCT(--ISNUMBER(Q13:R13),$Q$4:$R$4))</f>
        <v/>
      </c>
      <c r="Q13" s="19">
        <f>IF(Q$5="","",CHOOSE(Q$5,KA1!$R14,KA2!$R14,KA3!$R14,KA4!$R14,KA5!$R14,KA6!$R14))</f>
        <v/>
      </c>
      <c r="R13" s="19">
        <f>IF(R$5="","",CHOOSE(R$5,KA1!$R14,KA2!$R14,KA3!$R14,KA4!$R14,KA5!$R14,KA6!$R14))</f>
        <v/>
      </c>
      <c r="S13" s="48">
        <f>IF(SUMPRODUCT(--ISNUMBER(T13:Y13),$T$4:$Y$4)=0,"",SUMPRODUCT(T13:Y13,$T$4:$Y$4)/SUMPRODUCT(--ISNUMBER(T13:Y13),$T$4:$Y$4))</f>
        <v/>
      </c>
      <c r="T13" s="49" t="inlineStr"/>
      <c r="U13" s="49" t="inlineStr"/>
      <c r="V13" s="49" t="inlineStr"/>
      <c r="W13" s="49" t="inlineStr"/>
      <c r="X13" s="49" t="inlineStr"/>
      <c r="Y13" s="49" t="inlineStr"/>
      <c r="Z13" s="47">
        <f>IF(((--ISNUMBER(D13))*$D$4+(--ISNUMBER(E13))*$E$4)=0,"",(IFERROR(D13*$D$4,0)+IFERROR(E13*$E$4,0))/((--ISNUMBER(D13))*$D$4+(--ISNUMBER(E13))*$E$4))</f>
        <v/>
      </c>
      <c r="AA13" s="50">
        <f>IF(Z13="","",ROUND(Z13,0))</f>
        <v/>
      </c>
      <c r="AB13" s="22">
        <f>IF(AA13="","",INDEX(Notentabelle!$B$4:$B$19,AA13+1))</f>
        <v/>
      </c>
    </row>
    <row r="14">
      <c r="A14" s="37" t="n">
        <v>8</v>
      </c>
      <c r="B14" s="31">
        <f>IF(INDEX(Klassenliste!$B$6:$B$40,8)=0,"",INDEX(Klassenliste!$B$6:$B$40,8))</f>
        <v/>
      </c>
      <c r="C14" s="31">
        <f>IF(INDEX(Klassenliste!$C$6:$C$40,8)=0,"",INDEX(Klassenliste!$C$6:$C$40,8))</f>
        <v/>
      </c>
      <c r="D14" s="47">
        <f>IF(((--ISNUMBER(F14))*$F$4+(--ISNUMBER(I14))*$I$4)=0,"",(IFERROR(F14*$F$4,0)+IFERROR(I14*$I$4,0))/((--ISNUMBER(F14))*$F$4+(--ISNUMBER(I14))*$I$4))</f>
        <v/>
      </c>
      <c r="E14" s="48">
        <f>IF(((--ISNUMBER(P14))*$P$4+(--ISNUMBER(S14))*$S$4)=0,"",(IFERROR(P14*$P$4,0)+IFERROR(S14*$S$4,0))/((--ISNUMBER(P14))*$P$4+(--ISNUMBER(S14))*$S$4))</f>
        <v/>
      </c>
      <c r="F14" s="47">
        <f>IF(SUMPRODUCT(--ISNUMBER(G14:H14),$G$4:$H$4)=0,"",SUMPRODUCT(G14:H14,$G$4:$H$4)/SUMPRODUCT(--ISNUMBER(G14:H14),$G$4:$H$4))</f>
        <v/>
      </c>
      <c r="G14" s="19">
        <f>IF(G$5="","",CHOOSE(G$5,KA1!$R15,KA2!$R15,KA3!$R15,KA4!$R15,KA5!$R15,KA6!$R15))</f>
        <v/>
      </c>
      <c r="H14" s="19">
        <f>IF(H$5="","",CHOOSE(H$5,KA1!$R15,KA2!$R15,KA3!$R15,KA4!$R15,KA5!$R15,KA6!$R15))</f>
        <v/>
      </c>
      <c r="I14" s="48">
        <f>IF(SUMPRODUCT(--ISNUMBER(J14:O14),$J$4:$O$4)=0,"",SUMPRODUCT(J14:O14,$J$4:$O$4)/SUMPRODUCT(--ISNUMBER(J14:O14),$J$4:$O$4))</f>
        <v/>
      </c>
      <c r="J14" s="49" t="inlineStr"/>
      <c r="K14" s="49" t="inlineStr"/>
      <c r="L14" s="49" t="inlineStr"/>
      <c r="M14" s="49" t="inlineStr"/>
      <c r="N14" s="49" t="inlineStr"/>
      <c r="O14" s="49" t="inlineStr"/>
      <c r="P14" s="47">
        <f>IF(SUMPRODUCT(--ISNUMBER(Q14:R14),$Q$4:$R$4)=0,"",SUMPRODUCT(Q14:R14,$Q$4:$R$4)/SUMPRODUCT(--ISNUMBER(Q14:R14),$Q$4:$R$4))</f>
        <v/>
      </c>
      <c r="Q14" s="19">
        <f>IF(Q$5="","",CHOOSE(Q$5,KA1!$R15,KA2!$R15,KA3!$R15,KA4!$R15,KA5!$R15,KA6!$R15))</f>
        <v/>
      </c>
      <c r="R14" s="19">
        <f>IF(R$5="","",CHOOSE(R$5,KA1!$R15,KA2!$R15,KA3!$R15,KA4!$R15,KA5!$R15,KA6!$R15))</f>
        <v/>
      </c>
      <c r="S14" s="48">
        <f>IF(SUMPRODUCT(--ISNUMBER(T14:Y14),$T$4:$Y$4)=0,"",SUMPRODUCT(T14:Y14,$T$4:$Y$4)/SUMPRODUCT(--ISNUMBER(T14:Y14),$T$4:$Y$4))</f>
        <v/>
      </c>
      <c r="T14" s="49" t="inlineStr"/>
      <c r="U14" s="49" t="inlineStr"/>
      <c r="V14" s="49" t="inlineStr"/>
      <c r="W14" s="49" t="inlineStr"/>
      <c r="X14" s="49" t="inlineStr"/>
      <c r="Y14" s="49" t="inlineStr"/>
      <c r="Z14" s="47">
        <f>IF(((--ISNUMBER(D14))*$D$4+(--ISNUMBER(E14))*$E$4)=0,"",(IFERROR(D14*$D$4,0)+IFERROR(E14*$E$4,0))/((--ISNUMBER(D14))*$D$4+(--ISNUMBER(E14))*$E$4))</f>
        <v/>
      </c>
      <c r="AA14" s="50">
        <f>IF(Z14="","",ROUND(Z14,0))</f>
        <v/>
      </c>
      <c r="AB14" s="22">
        <f>IF(AA14="","",INDEX(Notentabelle!$B$4:$B$19,AA14+1))</f>
        <v/>
      </c>
    </row>
    <row r="15">
      <c r="A15" s="37" t="n">
        <v>9</v>
      </c>
      <c r="B15" s="31">
        <f>IF(INDEX(Klassenliste!$B$6:$B$40,9)=0,"",INDEX(Klassenliste!$B$6:$B$40,9))</f>
        <v/>
      </c>
      <c r="C15" s="31">
        <f>IF(INDEX(Klassenliste!$C$6:$C$40,9)=0,"",INDEX(Klassenliste!$C$6:$C$40,9))</f>
        <v/>
      </c>
      <c r="D15" s="47">
        <f>IF(((--ISNUMBER(F15))*$F$4+(--ISNUMBER(I15))*$I$4)=0,"",(IFERROR(F15*$F$4,0)+IFERROR(I15*$I$4,0))/((--ISNUMBER(F15))*$F$4+(--ISNUMBER(I15))*$I$4))</f>
        <v/>
      </c>
      <c r="E15" s="48">
        <f>IF(((--ISNUMBER(P15))*$P$4+(--ISNUMBER(S15))*$S$4)=0,"",(IFERROR(P15*$P$4,0)+IFERROR(S15*$S$4,0))/((--ISNUMBER(P15))*$P$4+(--ISNUMBER(S15))*$S$4))</f>
        <v/>
      </c>
      <c r="F15" s="47">
        <f>IF(SUMPRODUCT(--ISNUMBER(G15:H15),$G$4:$H$4)=0,"",SUMPRODUCT(G15:H15,$G$4:$H$4)/SUMPRODUCT(--ISNUMBER(G15:H15),$G$4:$H$4))</f>
        <v/>
      </c>
      <c r="G15" s="19">
        <f>IF(G$5="","",CHOOSE(G$5,KA1!$R16,KA2!$R16,KA3!$R16,KA4!$R16,KA5!$R16,KA6!$R16))</f>
        <v/>
      </c>
      <c r="H15" s="19">
        <f>IF(H$5="","",CHOOSE(H$5,KA1!$R16,KA2!$R16,KA3!$R16,KA4!$R16,KA5!$R16,KA6!$R16))</f>
        <v/>
      </c>
      <c r="I15" s="48">
        <f>IF(SUMPRODUCT(--ISNUMBER(J15:O15),$J$4:$O$4)=0,"",SUMPRODUCT(J15:O15,$J$4:$O$4)/SUMPRODUCT(--ISNUMBER(J15:O15),$J$4:$O$4))</f>
        <v/>
      </c>
      <c r="J15" s="49" t="inlineStr"/>
      <c r="K15" s="49" t="inlineStr"/>
      <c r="L15" s="49" t="inlineStr"/>
      <c r="M15" s="49" t="inlineStr"/>
      <c r="N15" s="49" t="inlineStr"/>
      <c r="O15" s="49" t="inlineStr"/>
      <c r="P15" s="47">
        <f>IF(SUMPRODUCT(--ISNUMBER(Q15:R15),$Q$4:$R$4)=0,"",SUMPRODUCT(Q15:R15,$Q$4:$R$4)/SUMPRODUCT(--ISNUMBER(Q15:R15),$Q$4:$R$4))</f>
        <v/>
      </c>
      <c r="Q15" s="19">
        <f>IF(Q$5="","",CHOOSE(Q$5,KA1!$R16,KA2!$R16,KA3!$R16,KA4!$R16,KA5!$R16,KA6!$R16))</f>
        <v/>
      </c>
      <c r="R15" s="19">
        <f>IF(R$5="","",CHOOSE(R$5,KA1!$R16,KA2!$R16,KA3!$R16,KA4!$R16,KA5!$R16,KA6!$R16))</f>
        <v/>
      </c>
      <c r="S15" s="48">
        <f>IF(SUMPRODUCT(--ISNUMBER(T15:Y15),$T$4:$Y$4)=0,"",SUMPRODUCT(T15:Y15,$T$4:$Y$4)/SUMPRODUCT(--ISNUMBER(T15:Y15),$T$4:$Y$4))</f>
        <v/>
      </c>
      <c r="T15" s="49" t="inlineStr"/>
      <c r="U15" s="49" t="inlineStr"/>
      <c r="V15" s="49" t="inlineStr"/>
      <c r="W15" s="49" t="inlineStr"/>
      <c r="X15" s="49" t="inlineStr"/>
      <c r="Y15" s="49" t="inlineStr"/>
      <c r="Z15" s="47">
        <f>IF(((--ISNUMBER(D15))*$D$4+(--ISNUMBER(E15))*$E$4)=0,"",(IFERROR(D15*$D$4,0)+IFERROR(E15*$E$4,0))/((--ISNUMBER(D15))*$D$4+(--ISNUMBER(E15))*$E$4))</f>
        <v/>
      </c>
      <c r="AA15" s="50">
        <f>IF(Z15="","",ROUND(Z15,0))</f>
        <v/>
      </c>
      <c r="AB15" s="22">
        <f>IF(AA15="","",INDEX(Notentabelle!$B$4:$B$19,AA15+1))</f>
        <v/>
      </c>
    </row>
    <row r="16">
      <c r="A16" s="37" t="n">
        <v>10</v>
      </c>
      <c r="B16" s="31">
        <f>IF(INDEX(Klassenliste!$B$6:$B$40,10)=0,"",INDEX(Klassenliste!$B$6:$B$40,10))</f>
        <v/>
      </c>
      <c r="C16" s="31">
        <f>IF(INDEX(Klassenliste!$C$6:$C$40,10)=0,"",INDEX(Klassenliste!$C$6:$C$40,10))</f>
        <v/>
      </c>
      <c r="D16" s="47">
        <f>IF(((--ISNUMBER(F16))*$F$4+(--ISNUMBER(I16))*$I$4)=0,"",(IFERROR(F16*$F$4,0)+IFERROR(I16*$I$4,0))/((--ISNUMBER(F16))*$F$4+(--ISNUMBER(I16))*$I$4))</f>
        <v/>
      </c>
      <c r="E16" s="48">
        <f>IF(((--ISNUMBER(P16))*$P$4+(--ISNUMBER(S16))*$S$4)=0,"",(IFERROR(P16*$P$4,0)+IFERROR(S16*$S$4,0))/((--ISNUMBER(P16))*$P$4+(--ISNUMBER(S16))*$S$4))</f>
        <v/>
      </c>
      <c r="F16" s="47">
        <f>IF(SUMPRODUCT(--ISNUMBER(G16:H16),$G$4:$H$4)=0,"",SUMPRODUCT(G16:H16,$G$4:$H$4)/SUMPRODUCT(--ISNUMBER(G16:H16),$G$4:$H$4))</f>
        <v/>
      </c>
      <c r="G16" s="19">
        <f>IF(G$5="","",CHOOSE(G$5,KA1!$R17,KA2!$R17,KA3!$R17,KA4!$R17,KA5!$R17,KA6!$R17))</f>
        <v/>
      </c>
      <c r="H16" s="19">
        <f>IF(H$5="","",CHOOSE(H$5,KA1!$R17,KA2!$R17,KA3!$R17,KA4!$R17,KA5!$R17,KA6!$R17))</f>
        <v/>
      </c>
      <c r="I16" s="48">
        <f>IF(SUMPRODUCT(--ISNUMBER(J16:O16),$J$4:$O$4)=0,"",SUMPRODUCT(J16:O16,$J$4:$O$4)/SUMPRODUCT(--ISNUMBER(J16:O16),$J$4:$O$4))</f>
        <v/>
      </c>
      <c r="J16" s="49" t="inlineStr"/>
      <c r="K16" s="49" t="inlineStr"/>
      <c r="L16" s="49" t="inlineStr"/>
      <c r="M16" s="49" t="inlineStr"/>
      <c r="N16" s="49" t="inlineStr"/>
      <c r="O16" s="49" t="inlineStr"/>
      <c r="P16" s="47">
        <f>IF(SUMPRODUCT(--ISNUMBER(Q16:R16),$Q$4:$R$4)=0,"",SUMPRODUCT(Q16:R16,$Q$4:$R$4)/SUMPRODUCT(--ISNUMBER(Q16:R16),$Q$4:$R$4))</f>
        <v/>
      </c>
      <c r="Q16" s="19">
        <f>IF(Q$5="","",CHOOSE(Q$5,KA1!$R17,KA2!$R17,KA3!$R17,KA4!$R17,KA5!$R17,KA6!$R17))</f>
        <v/>
      </c>
      <c r="R16" s="19">
        <f>IF(R$5="","",CHOOSE(R$5,KA1!$R17,KA2!$R17,KA3!$R17,KA4!$R17,KA5!$R17,KA6!$R17))</f>
        <v/>
      </c>
      <c r="S16" s="48">
        <f>IF(SUMPRODUCT(--ISNUMBER(T16:Y16),$T$4:$Y$4)=0,"",SUMPRODUCT(T16:Y16,$T$4:$Y$4)/SUMPRODUCT(--ISNUMBER(T16:Y16),$T$4:$Y$4))</f>
        <v/>
      </c>
      <c r="T16" s="49" t="inlineStr"/>
      <c r="U16" s="49" t="inlineStr"/>
      <c r="V16" s="49" t="inlineStr"/>
      <c r="W16" s="49" t="inlineStr"/>
      <c r="X16" s="49" t="inlineStr"/>
      <c r="Y16" s="49" t="inlineStr"/>
      <c r="Z16" s="47">
        <f>IF(((--ISNUMBER(D16))*$D$4+(--ISNUMBER(E16))*$E$4)=0,"",(IFERROR(D16*$D$4,0)+IFERROR(E16*$E$4,0))/((--ISNUMBER(D16))*$D$4+(--ISNUMBER(E16))*$E$4))</f>
        <v/>
      </c>
      <c r="AA16" s="50">
        <f>IF(Z16="","",ROUND(Z16,0))</f>
        <v/>
      </c>
      <c r="AB16" s="22">
        <f>IF(AA16="","",INDEX(Notentabelle!$B$4:$B$19,AA16+1))</f>
        <v/>
      </c>
    </row>
    <row r="17">
      <c r="A17" s="37" t="n">
        <v>11</v>
      </c>
      <c r="B17" s="31">
        <f>IF(INDEX(Klassenliste!$B$6:$B$40,11)=0,"",INDEX(Klassenliste!$B$6:$B$40,11))</f>
        <v/>
      </c>
      <c r="C17" s="31">
        <f>IF(INDEX(Klassenliste!$C$6:$C$40,11)=0,"",INDEX(Klassenliste!$C$6:$C$40,11))</f>
        <v/>
      </c>
      <c r="D17" s="47">
        <f>IF(((--ISNUMBER(F17))*$F$4+(--ISNUMBER(I17))*$I$4)=0,"",(IFERROR(F17*$F$4,0)+IFERROR(I17*$I$4,0))/((--ISNUMBER(F17))*$F$4+(--ISNUMBER(I17))*$I$4))</f>
        <v/>
      </c>
      <c r="E17" s="48">
        <f>IF(((--ISNUMBER(P17))*$P$4+(--ISNUMBER(S17))*$S$4)=0,"",(IFERROR(P17*$P$4,0)+IFERROR(S17*$S$4,0))/((--ISNUMBER(P17))*$P$4+(--ISNUMBER(S17))*$S$4))</f>
        <v/>
      </c>
      <c r="F17" s="47">
        <f>IF(SUMPRODUCT(--ISNUMBER(G17:H17),$G$4:$H$4)=0,"",SUMPRODUCT(G17:H17,$G$4:$H$4)/SUMPRODUCT(--ISNUMBER(G17:H17),$G$4:$H$4))</f>
        <v/>
      </c>
      <c r="G17" s="19">
        <f>IF(G$5="","",CHOOSE(G$5,KA1!$R18,KA2!$R18,KA3!$R18,KA4!$R18,KA5!$R18,KA6!$R18))</f>
        <v/>
      </c>
      <c r="H17" s="19">
        <f>IF(H$5="","",CHOOSE(H$5,KA1!$R18,KA2!$R18,KA3!$R18,KA4!$R18,KA5!$R18,KA6!$R18))</f>
        <v/>
      </c>
      <c r="I17" s="48">
        <f>IF(SUMPRODUCT(--ISNUMBER(J17:O17),$J$4:$O$4)=0,"",SUMPRODUCT(J17:O17,$J$4:$O$4)/SUMPRODUCT(--ISNUMBER(J17:O17),$J$4:$O$4))</f>
        <v/>
      </c>
      <c r="J17" s="49" t="inlineStr"/>
      <c r="K17" s="49" t="inlineStr"/>
      <c r="L17" s="49" t="inlineStr"/>
      <c r="M17" s="49" t="inlineStr"/>
      <c r="N17" s="49" t="inlineStr"/>
      <c r="O17" s="49" t="inlineStr"/>
      <c r="P17" s="47">
        <f>IF(SUMPRODUCT(--ISNUMBER(Q17:R17),$Q$4:$R$4)=0,"",SUMPRODUCT(Q17:R17,$Q$4:$R$4)/SUMPRODUCT(--ISNUMBER(Q17:R17),$Q$4:$R$4))</f>
        <v/>
      </c>
      <c r="Q17" s="19">
        <f>IF(Q$5="","",CHOOSE(Q$5,KA1!$R18,KA2!$R18,KA3!$R18,KA4!$R18,KA5!$R18,KA6!$R18))</f>
        <v/>
      </c>
      <c r="R17" s="19">
        <f>IF(R$5="","",CHOOSE(R$5,KA1!$R18,KA2!$R18,KA3!$R18,KA4!$R18,KA5!$R18,KA6!$R18))</f>
        <v/>
      </c>
      <c r="S17" s="48">
        <f>IF(SUMPRODUCT(--ISNUMBER(T17:Y17),$T$4:$Y$4)=0,"",SUMPRODUCT(T17:Y17,$T$4:$Y$4)/SUMPRODUCT(--ISNUMBER(T17:Y17),$T$4:$Y$4))</f>
        <v/>
      </c>
      <c r="T17" s="49" t="inlineStr"/>
      <c r="U17" s="49" t="inlineStr"/>
      <c r="V17" s="49" t="inlineStr"/>
      <c r="W17" s="49" t="inlineStr"/>
      <c r="X17" s="49" t="inlineStr"/>
      <c r="Y17" s="49" t="inlineStr"/>
      <c r="Z17" s="47">
        <f>IF(((--ISNUMBER(D17))*$D$4+(--ISNUMBER(E17))*$E$4)=0,"",(IFERROR(D17*$D$4,0)+IFERROR(E17*$E$4,0))/((--ISNUMBER(D17))*$D$4+(--ISNUMBER(E17))*$E$4))</f>
        <v/>
      </c>
      <c r="AA17" s="50">
        <f>IF(Z17="","",ROUND(Z17,0))</f>
        <v/>
      </c>
      <c r="AB17" s="22">
        <f>IF(AA17="","",INDEX(Notentabelle!$B$4:$B$19,AA17+1))</f>
        <v/>
      </c>
    </row>
    <row r="18">
      <c r="A18" s="37" t="n">
        <v>12</v>
      </c>
      <c r="B18" s="31">
        <f>IF(INDEX(Klassenliste!$B$6:$B$40,12)=0,"",INDEX(Klassenliste!$B$6:$B$40,12))</f>
        <v/>
      </c>
      <c r="C18" s="31">
        <f>IF(INDEX(Klassenliste!$C$6:$C$40,12)=0,"",INDEX(Klassenliste!$C$6:$C$40,12))</f>
        <v/>
      </c>
      <c r="D18" s="47">
        <f>IF(((--ISNUMBER(F18))*$F$4+(--ISNUMBER(I18))*$I$4)=0,"",(IFERROR(F18*$F$4,0)+IFERROR(I18*$I$4,0))/((--ISNUMBER(F18))*$F$4+(--ISNUMBER(I18))*$I$4))</f>
        <v/>
      </c>
      <c r="E18" s="48">
        <f>IF(((--ISNUMBER(P18))*$P$4+(--ISNUMBER(S18))*$S$4)=0,"",(IFERROR(P18*$P$4,0)+IFERROR(S18*$S$4,0))/((--ISNUMBER(P18))*$P$4+(--ISNUMBER(S18))*$S$4))</f>
        <v/>
      </c>
      <c r="F18" s="47">
        <f>IF(SUMPRODUCT(--ISNUMBER(G18:H18),$G$4:$H$4)=0,"",SUMPRODUCT(G18:H18,$G$4:$H$4)/SUMPRODUCT(--ISNUMBER(G18:H18),$G$4:$H$4))</f>
        <v/>
      </c>
      <c r="G18" s="19">
        <f>IF(G$5="","",CHOOSE(G$5,KA1!$R19,KA2!$R19,KA3!$R19,KA4!$R19,KA5!$R19,KA6!$R19))</f>
        <v/>
      </c>
      <c r="H18" s="19">
        <f>IF(H$5="","",CHOOSE(H$5,KA1!$R19,KA2!$R19,KA3!$R19,KA4!$R19,KA5!$R19,KA6!$R19))</f>
        <v/>
      </c>
      <c r="I18" s="48">
        <f>IF(SUMPRODUCT(--ISNUMBER(J18:O18),$J$4:$O$4)=0,"",SUMPRODUCT(J18:O18,$J$4:$O$4)/SUMPRODUCT(--ISNUMBER(J18:O18),$J$4:$O$4))</f>
        <v/>
      </c>
      <c r="J18" s="49" t="inlineStr"/>
      <c r="K18" s="49" t="inlineStr"/>
      <c r="L18" s="49" t="inlineStr"/>
      <c r="M18" s="49" t="inlineStr"/>
      <c r="N18" s="49" t="inlineStr"/>
      <c r="O18" s="49" t="inlineStr"/>
      <c r="P18" s="47">
        <f>IF(SUMPRODUCT(--ISNUMBER(Q18:R18),$Q$4:$R$4)=0,"",SUMPRODUCT(Q18:R18,$Q$4:$R$4)/SUMPRODUCT(--ISNUMBER(Q18:R18),$Q$4:$R$4))</f>
        <v/>
      </c>
      <c r="Q18" s="19">
        <f>IF(Q$5="","",CHOOSE(Q$5,KA1!$R19,KA2!$R19,KA3!$R19,KA4!$R19,KA5!$R19,KA6!$R19))</f>
        <v/>
      </c>
      <c r="R18" s="19">
        <f>IF(R$5="","",CHOOSE(R$5,KA1!$R19,KA2!$R19,KA3!$R19,KA4!$R19,KA5!$R19,KA6!$R19))</f>
        <v/>
      </c>
      <c r="S18" s="48">
        <f>IF(SUMPRODUCT(--ISNUMBER(T18:Y18),$T$4:$Y$4)=0,"",SUMPRODUCT(T18:Y18,$T$4:$Y$4)/SUMPRODUCT(--ISNUMBER(T18:Y18),$T$4:$Y$4))</f>
        <v/>
      </c>
      <c r="T18" s="49" t="inlineStr"/>
      <c r="U18" s="49" t="inlineStr"/>
      <c r="V18" s="49" t="inlineStr"/>
      <c r="W18" s="49" t="inlineStr"/>
      <c r="X18" s="49" t="inlineStr"/>
      <c r="Y18" s="49" t="inlineStr"/>
      <c r="Z18" s="47">
        <f>IF(((--ISNUMBER(D18))*$D$4+(--ISNUMBER(E18))*$E$4)=0,"",(IFERROR(D18*$D$4,0)+IFERROR(E18*$E$4,0))/((--ISNUMBER(D18))*$D$4+(--ISNUMBER(E18))*$E$4))</f>
        <v/>
      </c>
      <c r="AA18" s="50">
        <f>IF(Z18="","",ROUND(Z18,0))</f>
        <v/>
      </c>
      <c r="AB18" s="22">
        <f>IF(AA18="","",INDEX(Notentabelle!$B$4:$B$19,AA18+1))</f>
        <v/>
      </c>
    </row>
    <row r="19">
      <c r="A19" s="37" t="n">
        <v>13</v>
      </c>
      <c r="B19" s="31">
        <f>IF(INDEX(Klassenliste!$B$6:$B$40,13)=0,"",INDEX(Klassenliste!$B$6:$B$40,13))</f>
        <v/>
      </c>
      <c r="C19" s="31">
        <f>IF(INDEX(Klassenliste!$C$6:$C$40,13)=0,"",INDEX(Klassenliste!$C$6:$C$40,13))</f>
        <v/>
      </c>
      <c r="D19" s="47">
        <f>IF(((--ISNUMBER(F19))*$F$4+(--ISNUMBER(I19))*$I$4)=0,"",(IFERROR(F19*$F$4,0)+IFERROR(I19*$I$4,0))/((--ISNUMBER(F19))*$F$4+(--ISNUMBER(I19))*$I$4))</f>
        <v/>
      </c>
      <c r="E19" s="48">
        <f>IF(((--ISNUMBER(P19))*$P$4+(--ISNUMBER(S19))*$S$4)=0,"",(IFERROR(P19*$P$4,0)+IFERROR(S19*$S$4,0))/((--ISNUMBER(P19))*$P$4+(--ISNUMBER(S19))*$S$4))</f>
        <v/>
      </c>
      <c r="F19" s="47">
        <f>IF(SUMPRODUCT(--ISNUMBER(G19:H19),$G$4:$H$4)=0,"",SUMPRODUCT(G19:H19,$G$4:$H$4)/SUMPRODUCT(--ISNUMBER(G19:H19),$G$4:$H$4))</f>
        <v/>
      </c>
      <c r="G19" s="19">
        <f>IF(G$5="","",CHOOSE(G$5,KA1!$R20,KA2!$R20,KA3!$R20,KA4!$R20,KA5!$R20,KA6!$R20))</f>
        <v/>
      </c>
      <c r="H19" s="19">
        <f>IF(H$5="","",CHOOSE(H$5,KA1!$R20,KA2!$R20,KA3!$R20,KA4!$R20,KA5!$R20,KA6!$R20))</f>
        <v/>
      </c>
      <c r="I19" s="48">
        <f>IF(SUMPRODUCT(--ISNUMBER(J19:O19),$J$4:$O$4)=0,"",SUMPRODUCT(J19:O19,$J$4:$O$4)/SUMPRODUCT(--ISNUMBER(J19:O19),$J$4:$O$4))</f>
        <v/>
      </c>
      <c r="J19" s="49" t="inlineStr"/>
      <c r="K19" s="49" t="inlineStr"/>
      <c r="L19" s="49" t="inlineStr"/>
      <c r="M19" s="49" t="inlineStr"/>
      <c r="N19" s="49" t="inlineStr"/>
      <c r="O19" s="49" t="inlineStr"/>
      <c r="P19" s="47">
        <f>IF(SUMPRODUCT(--ISNUMBER(Q19:R19),$Q$4:$R$4)=0,"",SUMPRODUCT(Q19:R19,$Q$4:$R$4)/SUMPRODUCT(--ISNUMBER(Q19:R19),$Q$4:$R$4))</f>
        <v/>
      </c>
      <c r="Q19" s="19">
        <f>IF(Q$5="","",CHOOSE(Q$5,KA1!$R20,KA2!$R20,KA3!$R20,KA4!$R20,KA5!$R20,KA6!$R20))</f>
        <v/>
      </c>
      <c r="R19" s="19">
        <f>IF(R$5="","",CHOOSE(R$5,KA1!$R20,KA2!$R20,KA3!$R20,KA4!$R20,KA5!$R20,KA6!$R20))</f>
        <v/>
      </c>
      <c r="S19" s="48">
        <f>IF(SUMPRODUCT(--ISNUMBER(T19:Y19),$T$4:$Y$4)=0,"",SUMPRODUCT(T19:Y19,$T$4:$Y$4)/SUMPRODUCT(--ISNUMBER(T19:Y19),$T$4:$Y$4))</f>
        <v/>
      </c>
      <c r="T19" s="49" t="inlineStr"/>
      <c r="U19" s="49" t="inlineStr"/>
      <c r="V19" s="49" t="inlineStr"/>
      <c r="W19" s="49" t="inlineStr"/>
      <c r="X19" s="49" t="inlineStr"/>
      <c r="Y19" s="49" t="inlineStr"/>
      <c r="Z19" s="47">
        <f>IF(((--ISNUMBER(D19))*$D$4+(--ISNUMBER(E19))*$E$4)=0,"",(IFERROR(D19*$D$4,0)+IFERROR(E19*$E$4,0))/((--ISNUMBER(D19))*$D$4+(--ISNUMBER(E19))*$E$4))</f>
        <v/>
      </c>
      <c r="AA19" s="50">
        <f>IF(Z19="","",ROUND(Z19,0))</f>
        <v/>
      </c>
      <c r="AB19" s="22">
        <f>IF(AA19="","",INDEX(Notentabelle!$B$4:$B$19,AA19+1))</f>
        <v/>
      </c>
    </row>
    <row r="20">
      <c r="A20" s="37" t="n">
        <v>14</v>
      </c>
      <c r="B20" s="31">
        <f>IF(INDEX(Klassenliste!$B$6:$B$40,14)=0,"",INDEX(Klassenliste!$B$6:$B$40,14))</f>
        <v/>
      </c>
      <c r="C20" s="31">
        <f>IF(INDEX(Klassenliste!$C$6:$C$40,14)=0,"",INDEX(Klassenliste!$C$6:$C$40,14))</f>
        <v/>
      </c>
      <c r="D20" s="47">
        <f>IF(((--ISNUMBER(F20))*$F$4+(--ISNUMBER(I20))*$I$4)=0,"",(IFERROR(F20*$F$4,0)+IFERROR(I20*$I$4,0))/((--ISNUMBER(F20))*$F$4+(--ISNUMBER(I20))*$I$4))</f>
        <v/>
      </c>
      <c r="E20" s="48">
        <f>IF(((--ISNUMBER(P20))*$P$4+(--ISNUMBER(S20))*$S$4)=0,"",(IFERROR(P20*$P$4,0)+IFERROR(S20*$S$4,0))/((--ISNUMBER(P20))*$P$4+(--ISNUMBER(S20))*$S$4))</f>
        <v/>
      </c>
      <c r="F20" s="47">
        <f>IF(SUMPRODUCT(--ISNUMBER(G20:H20),$G$4:$H$4)=0,"",SUMPRODUCT(G20:H20,$G$4:$H$4)/SUMPRODUCT(--ISNUMBER(G20:H20),$G$4:$H$4))</f>
        <v/>
      </c>
      <c r="G20" s="19">
        <f>IF(G$5="","",CHOOSE(G$5,KA1!$R21,KA2!$R21,KA3!$R21,KA4!$R21,KA5!$R21,KA6!$R21))</f>
        <v/>
      </c>
      <c r="H20" s="19">
        <f>IF(H$5="","",CHOOSE(H$5,KA1!$R21,KA2!$R21,KA3!$R21,KA4!$R21,KA5!$R21,KA6!$R21))</f>
        <v/>
      </c>
      <c r="I20" s="48">
        <f>IF(SUMPRODUCT(--ISNUMBER(J20:O20),$J$4:$O$4)=0,"",SUMPRODUCT(J20:O20,$J$4:$O$4)/SUMPRODUCT(--ISNUMBER(J20:O20),$J$4:$O$4))</f>
        <v/>
      </c>
      <c r="J20" s="49" t="inlineStr"/>
      <c r="K20" s="49" t="inlineStr"/>
      <c r="L20" s="49" t="inlineStr"/>
      <c r="M20" s="49" t="inlineStr"/>
      <c r="N20" s="49" t="inlineStr"/>
      <c r="O20" s="49" t="inlineStr"/>
      <c r="P20" s="47">
        <f>IF(SUMPRODUCT(--ISNUMBER(Q20:R20),$Q$4:$R$4)=0,"",SUMPRODUCT(Q20:R20,$Q$4:$R$4)/SUMPRODUCT(--ISNUMBER(Q20:R20),$Q$4:$R$4))</f>
        <v/>
      </c>
      <c r="Q20" s="19">
        <f>IF(Q$5="","",CHOOSE(Q$5,KA1!$R21,KA2!$R21,KA3!$R21,KA4!$R21,KA5!$R21,KA6!$R21))</f>
        <v/>
      </c>
      <c r="R20" s="19">
        <f>IF(R$5="","",CHOOSE(R$5,KA1!$R21,KA2!$R21,KA3!$R21,KA4!$R21,KA5!$R21,KA6!$R21))</f>
        <v/>
      </c>
      <c r="S20" s="48">
        <f>IF(SUMPRODUCT(--ISNUMBER(T20:Y20),$T$4:$Y$4)=0,"",SUMPRODUCT(T20:Y20,$T$4:$Y$4)/SUMPRODUCT(--ISNUMBER(T20:Y20),$T$4:$Y$4))</f>
        <v/>
      </c>
      <c r="T20" s="49" t="inlineStr"/>
      <c r="U20" s="49" t="inlineStr"/>
      <c r="V20" s="49" t="inlineStr"/>
      <c r="W20" s="49" t="inlineStr"/>
      <c r="X20" s="49" t="inlineStr"/>
      <c r="Y20" s="49" t="inlineStr"/>
      <c r="Z20" s="47">
        <f>IF(((--ISNUMBER(D20))*$D$4+(--ISNUMBER(E20))*$E$4)=0,"",(IFERROR(D20*$D$4,0)+IFERROR(E20*$E$4,0))/((--ISNUMBER(D20))*$D$4+(--ISNUMBER(E20))*$E$4))</f>
        <v/>
      </c>
      <c r="AA20" s="50">
        <f>IF(Z20="","",ROUND(Z20,0))</f>
        <v/>
      </c>
      <c r="AB20" s="22">
        <f>IF(AA20="","",INDEX(Notentabelle!$B$4:$B$19,AA20+1))</f>
        <v/>
      </c>
    </row>
    <row r="21">
      <c r="A21" s="37" t="n">
        <v>15</v>
      </c>
      <c r="B21" s="31">
        <f>IF(INDEX(Klassenliste!$B$6:$B$40,15)=0,"",INDEX(Klassenliste!$B$6:$B$40,15))</f>
        <v/>
      </c>
      <c r="C21" s="31">
        <f>IF(INDEX(Klassenliste!$C$6:$C$40,15)=0,"",INDEX(Klassenliste!$C$6:$C$40,15))</f>
        <v/>
      </c>
      <c r="D21" s="47">
        <f>IF(((--ISNUMBER(F21))*$F$4+(--ISNUMBER(I21))*$I$4)=0,"",(IFERROR(F21*$F$4,0)+IFERROR(I21*$I$4,0))/((--ISNUMBER(F21))*$F$4+(--ISNUMBER(I21))*$I$4))</f>
        <v/>
      </c>
      <c r="E21" s="48">
        <f>IF(((--ISNUMBER(P21))*$P$4+(--ISNUMBER(S21))*$S$4)=0,"",(IFERROR(P21*$P$4,0)+IFERROR(S21*$S$4,0))/((--ISNUMBER(P21))*$P$4+(--ISNUMBER(S21))*$S$4))</f>
        <v/>
      </c>
      <c r="F21" s="47">
        <f>IF(SUMPRODUCT(--ISNUMBER(G21:H21),$G$4:$H$4)=0,"",SUMPRODUCT(G21:H21,$G$4:$H$4)/SUMPRODUCT(--ISNUMBER(G21:H21),$G$4:$H$4))</f>
        <v/>
      </c>
      <c r="G21" s="19">
        <f>IF(G$5="","",CHOOSE(G$5,KA1!$R22,KA2!$R22,KA3!$R22,KA4!$R22,KA5!$R22,KA6!$R22))</f>
        <v/>
      </c>
      <c r="H21" s="19">
        <f>IF(H$5="","",CHOOSE(H$5,KA1!$R22,KA2!$R22,KA3!$R22,KA4!$R22,KA5!$R22,KA6!$R22))</f>
        <v/>
      </c>
      <c r="I21" s="48">
        <f>IF(SUMPRODUCT(--ISNUMBER(J21:O21),$J$4:$O$4)=0,"",SUMPRODUCT(J21:O21,$J$4:$O$4)/SUMPRODUCT(--ISNUMBER(J21:O21),$J$4:$O$4))</f>
        <v/>
      </c>
      <c r="J21" s="49" t="inlineStr"/>
      <c r="K21" s="49" t="inlineStr"/>
      <c r="L21" s="49" t="inlineStr"/>
      <c r="M21" s="49" t="inlineStr"/>
      <c r="N21" s="49" t="inlineStr"/>
      <c r="O21" s="49" t="inlineStr"/>
      <c r="P21" s="47">
        <f>IF(SUMPRODUCT(--ISNUMBER(Q21:R21),$Q$4:$R$4)=0,"",SUMPRODUCT(Q21:R21,$Q$4:$R$4)/SUMPRODUCT(--ISNUMBER(Q21:R21),$Q$4:$R$4))</f>
        <v/>
      </c>
      <c r="Q21" s="19">
        <f>IF(Q$5="","",CHOOSE(Q$5,KA1!$R22,KA2!$R22,KA3!$R22,KA4!$R22,KA5!$R22,KA6!$R22))</f>
        <v/>
      </c>
      <c r="R21" s="19">
        <f>IF(R$5="","",CHOOSE(R$5,KA1!$R22,KA2!$R22,KA3!$R22,KA4!$R22,KA5!$R22,KA6!$R22))</f>
        <v/>
      </c>
      <c r="S21" s="48">
        <f>IF(SUMPRODUCT(--ISNUMBER(T21:Y21),$T$4:$Y$4)=0,"",SUMPRODUCT(T21:Y21,$T$4:$Y$4)/SUMPRODUCT(--ISNUMBER(T21:Y21),$T$4:$Y$4))</f>
        <v/>
      </c>
      <c r="T21" s="49" t="inlineStr"/>
      <c r="U21" s="49" t="inlineStr"/>
      <c r="V21" s="49" t="inlineStr"/>
      <c r="W21" s="49" t="inlineStr"/>
      <c r="X21" s="49" t="inlineStr"/>
      <c r="Y21" s="49" t="inlineStr"/>
      <c r="Z21" s="47">
        <f>IF(((--ISNUMBER(D21))*$D$4+(--ISNUMBER(E21))*$E$4)=0,"",(IFERROR(D21*$D$4,0)+IFERROR(E21*$E$4,0))/((--ISNUMBER(D21))*$D$4+(--ISNUMBER(E21))*$E$4))</f>
        <v/>
      </c>
      <c r="AA21" s="50">
        <f>IF(Z21="","",ROUND(Z21,0))</f>
        <v/>
      </c>
      <c r="AB21" s="22">
        <f>IF(AA21="","",INDEX(Notentabelle!$B$4:$B$19,AA21+1))</f>
        <v/>
      </c>
    </row>
    <row r="22">
      <c r="A22" s="37" t="n">
        <v>16</v>
      </c>
      <c r="B22" s="31">
        <f>IF(INDEX(Klassenliste!$B$6:$B$40,16)=0,"",INDEX(Klassenliste!$B$6:$B$40,16))</f>
        <v/>
      </c>
      <c r="C22" s="31">
        <f>IF(INDEX(Klassenliste!$C$6:$C$40,16)=0,"",INDEX(Klassenliste!$C$6:$C$40,16))</f>
        <v/>
      </c>
      <c r="D22" s="47">
        <f>IF(((--ISNUMBER(F22))*$F$4+(--ISNUMBER(I22))*$I$4)=0,"",(IFERROR(F22*$F$4,0)+IFERROR(I22*$I$4,0))/((--ISNUMBER(F22))*$F$4+(--ISNUMBER(I22))*$I$4))</f>
        <v/>
      </c>
      <c r="E22" s="48">
        <f>IF(((--ISNUMBER(P22))*$P$4+(--ISNUMBER(S22))*$S$4)=0,"",(IFERROR(P22*$P$4,0)+IFERROR(S22*$S$4,0))/((--ISNUMBER(P22))*$P$4+(--ISNUMBER(S22))*$S$4))</f>
        <v/>
      </c>
      <c r="F22" s="47">
        <f>IF(SUMPRODUCT(--ISNUMBER(G22:H22),$G$4:$H$4)=0,"",SUMPRODUCT(G22:H22,$G$4:$H$4)/SUMPRODUCT(--ISNUMBER(G22:H22),$G$4:$H$4))</f>
        <v/>
      </c>
      <c r="G22" s="19">
        <f>IF(G$5="","",CHOOSE(G$5,KA1!$R23,KA2!$R23,KA3!$R23,KA4!$R23,KA5!$R23,KA6!$R23))</f>
        <v/>
      </c>
      <c r="H22" s="19">
        <f>IF(H$5="","",CHOOSE(H$5,KA1!$R23,KA2!$R23,KA3!$R23,KA4!$R23,KA5!$R23,KA6!$R23))</f>
        <v/>
      </c>
      <c r="I22" s="48">
        <f>IF(SUMPRODUCT(--ISNUMBER(J22:O22),$J$4:$O$4)=0,"",SUMPRODUCT(J22:O22,$J$4:$O$4)/SUMPRODUCT(--ISNUMBER(J22:O22),$J$4:$O$4))</f>
        <v/>
      </c>
      <c r="J22" s="49" t="inlineStr"/>
      <c r="K22" s="49" t="inlineStr"/>
      <c r="L22" s="49" t="inlineStr"/>
      <c r="M22" s="49" t="inlineStr"/>
      <c r="N22" s="49" t="inlineStr"/>
      <c r="O22" s="49" t="inlineStr"/>
      <c r="P22" s="47">
        <f>IF(SUMPRODUCT(--ISNUMBER(Q22:R22),$Q$4:$R$4)=0,"",SUMPRODUCT(Q22:R22,$Q$4:$R$4)/SUMPRODUCT(--ISNUMBER(Q22:R22),$Q$4:$R$4))</f>
        <v/>
      </c>
      <c r="Q22" s="19">
        <f>IF(Q$5="","",CHOOSE(Q$5,KA1!$R23,KA2!$R23,KA3!$R23,KA4!$R23,KA5!$R23,KA6!$R23))</f>
        <v/>
      </c>
      <c r="R22" s="19">
        <f>IF(R$5="","",CHOOSE(R$5,KA1!$R23,KA2!$R23,KA3!$R23,KA4!$R23,KA5!$R23,KA6!$R23))</f>
        <v/>
      </c>
      <c r="S22" s="48">
        <f>IF(SUMPRODUCT(--ISNUMBER(T22:Y22),$T$4:$Y$4)=0,"",SUMPRODUCT(T22:Y22,$T$4:$Y$4)/SUMPRODUCT(--ISNUMBER(T22:Y22),$T$4:$Y$4))</f>
        <v/>
      </c>
      <c r="T22" s="49" t="inlineStr"/>
      <c r="U22" s="49" t="inlineStr"/>
      <c r="V22" s="49" t="inlineStr"/>
      <c r="W22" s="49" t="inlineStr"/>
      <c r="X22" s="49" t="inlineStr"/>
      <c r="Y22" s="49" t="inlineStr"/>
      <c r="Z22" s="47">
        <f>IF(((--ISNUMBER(D22))*$D$4+(--ISNUMBER(E22))*$E$4)=0,"",(IFERROR(D22*$D$4,0)+IFERROR(E22*$E$4,0))/((--ISNUMBER(D22))*$D$4+(--ISNUMBER(E22))*$E$4))</f>
        <v/>
      </c>
      <c r="AA22" s="50">
        <f>IF(Z22="","",ROUND(Z22,0))</f>
        <v/>
      </c>
      <c r="AB22" s="22">
        <f>IF(AA22="","",INDEX(Notentabelle!$B$4:$B$19,AA22+1))</f>
        <v/>
      </c>
    </row>
    <row r="23">
      <c r="A23" s="37" t="n">
        <v>17</v>
      </c>
      <c r="B23" s="31">
        <f>IF(INDEX(Klassenliste!$B$6:$B$40,17)=0,"",INDEX(Klassenliste!$B$6:$B$40,17))</f>
        <v/>
      </c>
      <c r="C23" s="31">
        <f>IF(INDEX(Klassenliste!$C$6:$C$40,17)=0,"",INDEX(Klassenliste!$C$6:$C$40,17))</f>
        <v/>
      </c>
      <c r="D23" s="47">
        <f>IF(((--ISNUMBER(F23))*$F$4+(--ISNUMBER(I23))*$I$4)=0,"",(IFERROR(F23*$F$4,0)+IFERROR(I23*$I$4,0))/((--ISNUMBER(F23))*$F$4+(--ISNUMBER(I23))*$I$4))</f>
        <v/>
      </c>
      <c r="E23" s="48">
        <f>IF(((--ISNUMBER(P23))*$P$4+(--ISNUMBER(S23))*$S$4)=0,"",(IFERROR(P23*$P$4,0)+IFERROR(S23*$S$4,0))/((--ISNUMBER(P23))*$P$4+(--ISNUMBER(S23))*$S$4))</f>
        <v/>
      </c>
      <c r="F23" s="47">
        <f>IF(SUMPRODUCT(--ISNUMBER(G23:H23),$G$4:$H$4)=0,"",SUMPRODUCT(G23:H23,$G$4:$H$4)/SUMPRODUCT(--ISNUMBER(G23:H23),$G$4:$H$4))</f>
        <v/>
      </c>
      <c r="G23" s="19">
        <f>IF(G$5="","",CHOOSE(G$5,KA1!$R24,KA2!$R24,KA3!$R24,KA4!$R24,KA5!$R24,KA6!$R24))</f>
        <v/>
      </c>
      <c r="H23" s="19">
        <f>IF(H$5="","",CHOOSE(H$5,KA1!$R24,KA2!$R24,KA3!$R24,KA4!$R24,KA5!$R24,KA6!$R24))</f>
        <v/>
      </c>
      <c r="I23" s="48">
        <f>IF(SUMPRODUCT(--ISNUMBER(J23:O23),$J$4:$O$4)=0,"",SUMPRODUCT(J23:O23,$J$4:$O$4)/SUMPRODUCT(--ISNUMBER(J23:O23),$J$4:$O$4))</f>
        <v/>
      </c>
      <c r="J23" s="49" t="inlineStr"/>
      <c r="K23" s="49" t="inlineStr"/>
      <c r="L23" s="49" t="inlineStr"/>
      <c r="M23" s="49" t="inlineStr"/>
      <c r="N23" s="49" t="inlineStr"/>
      <c r="O23" s="49" t="inlineStr"/>
      <c r="P23" s="47">
        <f>IF(SUMPRODUCT(--ISNUMBER(Q23:R23),$Q$4:$R$4)=0,"",SUMPRODUCT(Q23:R23,$Q$4:$R$4)/SUMPRODUCT(--ISNUMBER(Q23:R23),$Q$4:$R$4))</f>
        <v/>
      </c>
      <c r="Q23" s="19">
        <f>IF(Q$5="","",CHOOSE(Q$5,KA1!$R24,KA2!$R24,KA3!$R24,KA4!$R24,KA5!$R24,KA6!$R24))</f>
        <v/>
      </c>
      <c r="R23" s="19">
        <f>IF(R$5="","",CHOOSE(R$5,KA1!$R24,KA2!$R24,KA3!$R24,KA4!$R24,KA5!$R24,KA6!$R24))</f>
        <v/>
      </c>
      <c r="S23" s="48">
        <f>IF(SUMPRODUCT(--ISNUMBER(T23:Y23),$T$4:$Y$4)=0,"",SUMPRODUCT(T23:Y23,$T$4:$Y$4)/SUMPRODUCT(--ISNUMBER(T23:Y23),$T$4:$Y$4))</f>
        <v/>
      </c>
      <c r="T23" s="49" t="inlineStr"/>
      <c r="U23" s="49" t="inlineStr"/>
      <c r="V23" s="49" t="inlineStr"/>
      <c r="W23" s="49" t="inlineStr"/>
      <c r="X23" s="49" t="inlineStr"/>
      <c r="Y23" s="49" t="inlineStr"/>
      <c r="Z23" s="47">
        <f>IF(((--ISNUMBER(D23))*$D$4+(--ISNUMBER(E23))*$E$4)=0,"",(IFERROR(D23*$D$4,0)+IFERROR(E23*$E$4,0))/((--ISNUMBER(D23))*$D$4+(--ISNUMBER(E23))*$E$4))</f>
        <v/>
      </c>
      <c r="AA23" s="50">
        <f>IF(Z23="","",ROUND(Z23,0))</f>
        <v/>
      </c>
      <c r="AB23" s="22">
        <f>IF(AA23="","",INDEX(Notentabelle!$B$4:$B$19,AA23+1))</f>
        <v/>
      </c>
    </row>
    <row r="24">
      <c r="A24" s="37" t="n">
        <v>18</v>
      </c>
      <c r="B24" s="31">
        <f>IF(INDEX(Klassenliste!$B$6:$B$40,18)=0,"",INDEX(Klassenliste!$B$6:$B$40,18))</f>
        <v/>
      </c>
      <c r="C24" s="31">
        <f>IF(INDEX(Klassenliste!$C$6:$C$40,18)=0,"",INDEX(Klassenliste!$C$6:$C$40,18))</f>
        <v/>
      </c>
      <c r="D24" s="47">
        <f>IF(((--ISNUMBER(F24))*$F$4+(--ISNUMBER(I24))*$I$4)=0,"",(IFERROR(F24*$F$4,0)+IFERROR(I24*$I$4,0))/((--ISNUMBER(F24))*$F$4+(--ISNUMBER(I24))*$I$4))</f>
        <v/>
      </c>
      <c r="E24" s="48">
        <f>IF(((--ISNUMBER(P24))*$P$4+(--ISNUMBER(S24))*$S$4)=0,"",(IFERROR(P24*$P$4,0)+IFERROR(S24*$S$4,0))/((--ISNUMBER(P24))*$P$4+(--ISNUMBER(S24))*$S$4))</f>
        <v/>
      </c>
      <c r="F24" s="47">
        <f>IF(SUMPRODUCT(--ISNUMBER(G24:H24),$G$4:$H$4)=0,"",SUMPRODUCT(G24:H24,$G$4:$H$4)/SUMPRODUCT(--ISNUMBER(G24:H24),$G$4:$H$4))</f>
        <v/>
      </c>
      <c r="G24" s="19">
        <f>IF(G$5="","",CHOOSE(G$5,KA1!$R25,KA2!$R25,KA3!$R25,KA4!$R25,KA5!$R25,KA6!$R25))</f>
        <v/>
      </c>
      <c r="H24" s="19">
        <f>IF(H$5="","",CHOOSE(H$5,KA1!$R25,KA2!$R25,KA3!$R25,KA4!$R25,KA5!$R25,KA6!$R25))</f>
        <v/>
      </c>
      <c r="I24" s="48">
        <f>IF(SUMPRODUCT(--ISNUMBER(J24:O24),$J$4:$O$4)=0,"",SUMPRODUCT(J24:O24,$J$4:$O$4)/SUMPRODUCT(--ISNUMBER(J24:O24),$J$4:$O$4))</f>
        <v/>
      </c>
      <c r="J24" s="49" t="inlineStr"/>
      <c r="K24" s="49" t="inlineStr"/>
      <c r="L24" s="49" t="inlineStr"/>
      <c r="M24" s="49" t="inlineStr"/>
      <c r="N24" s="49" t="inlineStr"/>
      <c r="O24" s="49" t="inlineStr"/>
      <c r="P24" s="47">
        <f>IF(SUMPRODUCT(--ISNUMBER(Q24:R24),$Q$4:$R$4)=0,"",SUMPRODUCT(Q24:R24,$Q$4:$R$4)/SUMPRODUCT(--ISNUMBER(Q24:R24),$Q$4:$R$4))</f>
        <v/>
      </c>
      <c r="Q24" s="19">
        <f>IF(Q$5="","",CHOOSE(Q$5,KA1!$R25,KA2!$R25,KA3!$R25,KA4!$R25,KA5!$R25,KA6!$R25))</f>
        <v/>
      </c>
      <c r="R24" s="19">
        <f>IF(R$5="","",CHOOSE(R$5,KA1!$R25,KA2!$R25,KA3!$R25,KA4!$R25,KA5!$R25,KA6!$R25))</f>
        <v/>
      </c>
      <c r="S24" s="48">
        <f>IF(SUMPRODUCT(--ISNUMBER(T24:Y24),$T$4:$Y$4)=0,"",SUMPRODUCT(T24:Y24,$T$4:$Y$4)/SUMPRODUCT(--ISNUMBER(T24:Y24),$T$4:$Y$4))</f>
        <v/>
      </c>
      <c r="T24" s="49" t="inlineStr"/>
      <c r="U24" s="49" t="inlineStr"/>
      <c r="V24" s="49" t="inlineStr"/>
      <c r="W24" s="49" t="inlineStr"/>
      <c r="X24" s="49" t="inlineStr"/>
      <c r="Y24" s="49" t="inlineStr"/>
      <c r="Z24" s="47">
        <f>IF(((--ISNUMBER(D24))*$D$4+(--ISNUMBER(E24))*$E$4)=0,"",(IFERROR(D24*$D$4,0)+IFERROR(E24*$E$4,0))/((--ISNUMBER(D24))*$D$4+(--ISNUMBER(E24))*$E$4))</f>
        <v/>
      </c>
      <c r="AA24" s="50">
        <f>IF(Z24="","",ROUND(Z24,0))</f>
        <v/>
      </c>
      <c r="AB24" s="22">
        <f>IF(AA24="","",INDEX(Notentabelle!$B$4:$B$19,AA24+1))</f>
        <v/>
      </c>
    </row>
    <row r="25">
      <c r="A25" s="37" t="n">
        <v>19</v>
      </c>
      <c r="B25" s="31">
        <f>IF(INDEX(Klassenliste!$B$6:$B$40,19)=0,"",INDEX(Klassenliste!$B$6:$B$40,19))</f>
        <v/>
      </c>
      <c r="C25" s="31">
        <f>IF(INDEX(Klassenliste!$C$6:$C$40,19)=0,"",INDEX(Klassenliste!$C$6:$C$40,19))</f>
        <v/>
      </c>
      <c r="D25" s="47">
        <f>IF(((--ISNUMBER(F25))*$F$4+(--ISNUMBER(I25))*$I$4)=0,"",(IFERROR(F25*$F$4,0)+IFERROR(I25*$I$4,0))/((--ISNUMBER(F25))*$F$4+(--ISNUMBER(I25))*$I$4))</f>
        <v/>
      </c>
      <c r="E25" s="48">
        <f>IF(((--ISNUMBER(P25))*$P$4+(--ISNUMBER(S25))*$S$4)=0,"",(IFERROR(P25*$P$4,0)+IFERROR(S25*$S$4,0))/((--ISNUMBER(P25))*$P$4+(--ISNUMBER(S25))*$S$4))</f>
        <v/>
      </c>
      <c r="F25" s="47">
        <f>IF(SUMPRODUCT(--ISNUMBER(G25:H25),$G$4:$H$4)=0,"",SUMPRODUCT(G25:H25,$G$4:$H$4)/SUMPRODUCT(--ISNUMBER(G25:H25),$G$4:$H$4))</f>
        <v/>
      </c>
      <c r="G25" s="19">
        <f>IF(G$5="","",CHOOSE(G$5,KA1!$R26,KA2!$R26,KA3!$R26,KA4!$R26,KA5!$R26,KA6!$R26))</f>
        <v/>
      </c>
      <c r="H25" s="19">
        <f>IF(H$5="","",CHOOSE(H$5,KA1!$R26,KA2!$R26,KA3!$R26,KA4!$R26,KA5!$R26,KA6!$R26))</f>
        <v/>
      </c>
      <c r="I25" s="48">
        <f>IF(SUMPRODUCT(--ISNUMBER(J25:O25),$J$4:$O$4)=0,"",SUMPRODUCT(J25:O25,$J$4:$O$4)/SUMPRODUCT(--ISNUMBER(J25:O25),$J$4:$O$4))</f>
        <v/>
      </c>
      <c r="J25" s="49" t="inlineStr"/>
      <c r="K25" s="49" t="inlineStr"/>
      <c r="L25" s="49" t="inlineStr"/>
      <c r="M25" s="49" t="inlineStr"/>
      <c r="N25" s="49" t="inlineStr"/>
      <c r="O25" s="49" t="inlineStr"/>
      <c r="P25" s="47">
        <f>IF(SUMPRODUCT(--ISNUMBER(Q25:R25),$Q$4:$R$4)=0,"",SUMPRODUCT(Q25:R25,$Q$4:$R$4)/SUMPRODUCT(--ISNUMBER(Q25:R25),$Q$4:$R$4))</f>
        <v/>
      </c>
      <c r="Q25" s="19">
        <f>IF(Q$5="","",CHOOSE(Q$5,KA1!$R26,KA2!$R26,KA3!$R26,KA4!$R26,KA5!$R26,KA6!$R26))</f>
        <v/>
      </c>
      <c r="R25" s="19">
        <f>IF(R$5="","",CHOOSE(R$5,KA1!$R26,KA2!$R26,KA3!$R26,KA4!$R26,KA5!$R26,KA6!$R26))</f>
        <v/>
      </c>
      <c r="S25" s="48">
        <f>IF(SUMPRODUCT(--ISNUMBER(T25:Y25),$T$4:$Y$4)=0,"",SUMPRODUCT(T25:Y25,$T$4:$Y$4)/SUMPRODUCT(--ISNUMBER(T25:Y25),$T$4:$Y$4))</f>
        <v/>
      </c>
      <c r="T25" s="49" t="inlineStr"/>
      <c r="U25" s="49" t="inlineStr"/>
      <c r="V25" s="49" t="inlineStr"/>
      <c r="W25" s="49" t="inlineStr"/>
      <c r="X25" s="49" t="inlineStr"/>
      <c r="Y25" s="49" t="inlineStr"/>
      <c r="Z25" s="47">
        <f>IF(((--ISNUMBER(D25))*$D$4+(--ISNUMBER(E25))*$E$4)=0,"",(IFERROR(D25*$D$4,0)+IFERROR(E25*$E$4,0))/((--ISNUMBER(D25))*$D$4+(--ISNUMBER(E25))*$E$4))</f>
        <v/>
      </c>
      <c r="AA25" s="50">
        <f>IF(Z25="","",ROUND(Z25,0))</f>
        <v/>
      </c>
      <c r="AB25" s="22">
        <f>IF(AA25="","",INDEX(Notentabelle!$B$4:$B$19,AA25+1))</f>
        <v/>
      </c>
    </row>
    <row r="26">
      <c r="A26" s="37" t="n">
        <v>20</v>
      </c>
      <c r="B26" s="31">
        <f>IF(INDEX(Klassenliste!$B$6:$B$40,20)=0,"",INDEX(Klassenliste!$B$6:$B$40,20))</f>
        <v/>
      </c>
      <c r="C26" s="31">
        <f>IF(INDEX(Klassenliste!$C$6:$C$40,20)=0,"",INDEX(Klassenliste!$C$6:$C$40,20))</f>
        <v/>
      </c>
      <c r="D26" s="47">
        <f>IF(((--ISNUMBER(F26))*$F$4+(--ISNUMBER(I26))*$I$4)=0,"",(IFERROR(F26*$F$4,0)+IFERROR(I26*$I$4,0))/((--ISNUMBER(F26))*$F$4+(--ISNUMBER(I26))*$I$4))</f>
        <v/>
      </c>
      <c r="E26" s="48">
        <f>IF(((--ISNUMBER(P26))*$P$4+(--ISNUMBER(S26))*$S$4)=0,"",(IFERROR(P26*$P$4,0)+IFERROR(S26*$S$4,0))/((--ISNUMBER(P26))*$P$4+(--ISNUMBER(S26))*$S$4))</f>
        <v/>
      </c>
      <c r="F26" s="47">
        <f>IF(SUMPRODUCT(--ISNUMBER(G26:H26),$G$4:$H$4)=0,"",SUMPRODUCT(G26:H26,$G$4:$H$4)/SUMPRODUCT(--ISNUMBER(G26:H26),$G$4:$H$4))</f>
        <v/>
      </c>
      <c r="G26" s="19">
        <f>IF(G$5="","",CHOOSE(G$5,KA1!$R27,KA2!$R27,KA3!$R27,KA4!$R27,KA5!$R27,KA6!$R27))</f>
        <v/>
      </c>
      <c r="H26" s="19">
        <f>IF(H$5="","",CHOOSE(H$5,KA1!$R27,KA2!$R27,KA3!$R27,KA4!$R27,KA5!$R27,KA6!$R27))</f>
        <v/>
      </c>
      <c r="I26" s="48">
        <f>IF(SUMPRODUCT(--ISNUMBER(J26:O26),$J$4:$O$4)=0,"",SUMPRODUCT(J26:O26,$J$4:$O$4)/SUMPRODUCT(--ISNUMBER(J26:O26),$J$4:$O$4))</f>
        <v/>
      </c>
      <c r="J26" s="49" t="inlineStr"/>
      <c r="K26" s="49" t="inlineStr"/>
      <c r="L26" s="49" t="inlineStr"/>
      <c r="M26" s="49" t="inlineStr"/>
      <c r="N26" s="49" t="inlineStr"/>
      <c r="O26" s="49" t="inlineStr"/>
      <c r="P26" s="47">
        <f>IF(SUMPRODUCT(--ISNUMBER(Q26:R26),$Q$4:$R$4)=0,"",SUMPRODUCT(Q26:R26,$Q$4:$R$4)/SUMPRODUCT(--ISNUMBER(Q26:R26),$Q$4:$R$4))</f>
        <v/>
      </c>
      <c r="Q26" s="19">
        <f>IF(Q$5="","",CHOOSE(Q$5,KA1!$R27,KA2!$R27,KA3!$R27,KA4!$R27,KA5!$R27,KA6!$R27))</f>
        <v/>
      </c>
      <c r="R26" s="19">
        <f>IF(R$5="","",CHOOSE(R$5,KA1!$R27,KA2!$R27,KA3!$R27,KA4!$R27,KA5!$R27,KA6!$R27))</f>
        <v/>
      </c>
      <c r="S26" s="48">
        <f>IF(SUMPRODUCT(--ISNUMBER(T26:Y26),$T$4:$Y$4)=0,"",SUMPRODUCT(T26:Y26,$T$4:$Y$4)/SUMPRODUCT(--ISNUMBER(T26:Y26),$T$4:$Y$4))</f>
        <v/>
      </c>
      <c r="T26" s="49" t="inlineStr"/>
      <c r="U26" s="49" t="inlineStr"/>
      <c r="V26" s="49" t="inlineStr"/>
      <c r="W26" s="49" t="inlineStr"/>
      <c r="X26" s="49" t="inlineStr"/>
      <c r="Y26" s="49" t="inlineStr"/>
      <c r="Z26" s="47">
        <f>IF(((--ISNUMBER(D26))*$D$4+(--ISNUMBER(E26))*$E$4)=0,"",(IFERROR(D26*$D$4,0)+IFERROR(E26*$E$4,0))/((--ISNUMBER(D26))*$D$4+(--ISNUMBER(E26))*$E$4))</f>
        <v/>
      </c>
      <c r="AA26" s="50">
        <f>IF(Z26="","",ROUND(Z26,0))</f>
        <v/>
      </c>
      <c r="AB26" s="22">
        <f>IF(AA26="","",INDEX(Notentabelle!$B$4:$B$19,AA26+1))</f>
        <v/>
      </c>
    </row>
    <row r="27">
      <c r="A27" s="37" t="n">
        <v>21</v>
      </c>
      <c r="B27" s="31">
        <f>IF(INDEX(Klassenliste!$B$6:$B$40,21)=0,"",INDEX(Klassenliste!$B$6:$B$40,21))</f>
        <v/>
      </c>
      <c r="C27" s="31">
        <f>IF(INDEX(Klassenliste!$C$6:$C$40,21)=0,"",INDEX(Klassenliste!$C$6:$C$40,21))</f>
        <v/>
      </c>
      <c r="D27" s="47">
        <f>IF(((--ISNUMBER(F27))*$F$4+(--ISNUMBER(I27))*$I$4)=0,"",(IFERROR(F27*$F$4,0)+IFERROR(I27*$I$4,0))/((--ISNUMBER(F27))*$F$4+(--ISNUMBER(I27))*$I$4))</f>
        <v/>
      </c>
      <c r="E27" s="48">
        <f>IF(((--ISNUMBER(P27))*$P$4+(--ISNUMBER(S27))*$S$4)=0,"",(IFERROR(P27*$P$4,0)+IFERROR(S27*$S$4,0))/((--ISNUMBER(P27))*$P$4+(--ISNUMBER(S27))*$S$4))</f>
        <v/>
      </c>
      <c r="F27" s="47">
        <f>IF(SUMPRODUCT(--ISNUMBER(G27:H27),$G$4:$H$4)=0,"",SUMPRODUCT(G27:H27,$G$4:$H$4)/SUMPRODUCT(--ISNUMBER(G27:H27),$G$4:$H$4))</f>
        <v/>
      </c>
      <c r="G27" s="19">
        <f>IF(G$5="","",CHOOSE(G$5,KA1!$R28,KA2!$R28,KA3!$R28,KA4!$R28,KA5!$R28,KA6!$R28))</f>
        <v/>
      </c>
      <c r="H27" s="19">
        <f>IF(H$5="","",CHOOSE(H$5,KA1!$R28,KA2!$R28,KA3!$R28,KA4!$R28,KA5!$R28,KA6!$R28))</f>
        <v/>
      </c>
      <c r="I27" s="48">
        <f>IF(SUMPRODUCT(--ISNUMBER(J27:O27),$J$4:$O$4)=0,"",SUMPRODUCT(J27:O27,$J$4:$O$4)/SUMPRODUCT(--ISNUMBER(J27:O27),$J$4:$O$4))</f>
        <v/>
      </c>
      <c r="J27" s="49" t="inlineStr"/>
      <c r="K27" s="49" t="inlineStr"/>
      <c r="L27" s="49" t="inlineStr"/>
      <c r="M27" s="49" t="inlineStr"/>
      <c r="N27" s="49" t="inlineStr"/>
      <c r="O27" s="49" t="inlineStr"/>
      <c r="P27" s="47">
        <f>IF(SUMPRODUCT(--ISNUMBER(Q27:R27),$Q$4:$R$4)=0,"",SUMPRODUCT(Q27:R27,$Q$4:$R$4)/SUMPRODUCT(--ISNUMBER(Q27:R27),$Q$4:$R$4))</f>
        <v/>
      </c>
      <c r="Q27" s="19">
        <f>IF(Q$5="","",CHOOSE(Q$5,KA1!$R28,KA2!$R28,KA3!$R28,KA4!$R28,KA5!$R28,KA6!$R28))</f>
        <v/>
      </c>
      <c r="R27" s="19">
        <f>IF(R$5="","",CHOOSE(R$5,KA1!$R28,KA2!$R28,KA3!$R28,KA4!$R28,KA5!$R28,KA6!$R28))</f>
        <v/>
      </c>
      <c r="S27" s="48">
        <f>IF(SUMPRODUCT(--ISNUMBER(T27:Y27),$T$4:$Y$4)=0,"",SUMPRODUCT(T27:Y27,$T$4:$Y$4)/SUMPRODUCT(--ISNUMBER(T27:Y27),$T$4:$Y$4))</f>
        <v/>
      </c>
      <c r="T27" s="49" t="inlineStr"/>
      <c r="U27" s="49" t="inlineStr"/>
      <c r="V27" s="49" t="inlineStr"/>
      <c r="W27" s="49" t="inlineStr"/>
      <c r="X27" s="49" t="inlineStr"/>
      <c r="Y27" s="49" t="inlineStr"/>
      <c r="Z27" s="47">
        <f>IF(((--ISNUMBER(D27))*$D$4+(--ISNUMBER(E27))*$E$4)=0,"",(IFERROR(D27*$D$4,0)+IFERROR(E27*$E$4,0))/((--ISNUMBER(D27))*$D$4+(--ISNUMBER(E27))*$E$4))</f>
        <v/>
      </c>
      <c r="AA27" s="50">
        <f>IF(Z27="","",ROUND(Z27,0))</f>
        <v/>
      </c>
      <c r="AB27" s="22">
        <f>IF(AA27="","",INDEX(Notentabelle!$B$4:$B$19,AA27+1))</f>
        <v/>
      </c>
    </row>
    <row r="28">
      <c r="A28" s="37" t="n">
        <v>22</v>
      </c>
      <c r="B28" s="31">
        <f>IF(INDEX(Klassenliste!$B$6:$B$40,22)=0,"",INDEX(Klassenliste!$B$6:$B$40,22))</f>
        <v/>
      </c>
      <c r="C28" s="31">
        <f>IF(INDEX(Klassenliste!$C$6:$C$40,22)=0,"",INDEX(Klassenliste!$C$6:$C$40,22))</f>
        <v/>
      </c>
      <c r="D28" s="47">
        <f>IF(((--ISNUMBER(F28))*$F$4+(--ISNUMBER(I28))*$I$4)=0,"",(IFERROR(F28*$F$4,0)+IFERROR(I28*$I$4,0))/((--ISNUMBER(F28))*$F$4+(--ISNUMBER(I28))*$I$4))</f>
        <v/>
      </c>
      <c r="E28" s="48">
        <f>IF(((--ISNUMBER(P28))*$P$4+(--ISNUMBER(S28))*$S$4)=0,"",(IFERROR(P28*$P$4,0)+IFERROR(S28*$S$4,0))/((--ISNUMBER(P28))*$P$4+(--ISNUMBER(S28))*$S$4))</f>
        <v/>
      </c>
      <c r="F28" s="47">
        <f>IF(SUMPRODUCT(--ISNUMBER(G28:H28),$G$4:$H$4)=0,"",SUMPRODUCT(G28:H28,$G$4:$H$4)/SUMPRODUCT(--ISNUMBER(G28:H28),$G$4:$H$4))</f>
        <v/>
      </c>
      <c r="G28" s="19">
        <f>IF(G$5="","",CHOOSE(G$5,KA1!$R29,KA2!$R29,KA3!$R29,KA4!$R29,KA5!$R29,KA6!$R29))</f>
        <v/>
      </c>
      <c r="H28" s="19">
        <f>IF(H$5="","",CHOOSE(H$5,KA1!$R29,KA2!$R29,KA3!$R29,KA4!$R29,KA5!$R29,KA6!$R29))</f>
        <v/>
      </c>
      <c r="I28" s="48">
        <f>IF(SUMPRODUCT(--ISNUMBER(J28:O28),$J$4:$O$4)=0,"",SUMPRODUCT(J28:O28,$J$4:$O$4)/SUMPRODUCT(--ISNUMBER(J28:O28),$J$4:$O$4))</f>
        <v/>
      </c>
      <c r="J28" s="49" t="inlineStr"/>
      <c r="K28" s="49" t="inlineStr"/>
      <c r="L28" s="49" t="inlineStr"/>
      <c r="M28" s="49" t="inlineStr"/>
      <c r="N28" s="49" t="inlineStr"/>
      <c r="O28" s="49" t="inlineStr"/>
      <c r="P28" s="47">
        <f>IF(SUMPRODUCT(--ISNUMBER(Q28:R28),$Q$4:$R$4)=0,"",SUMPRODUCT(Q28:R28,$Q$4:$R$4)/SUMPRODUCT(--ISNUMBER(Q28:R28),$Q$4:$R$4))</f>
        <v/>
      </c>
      <c r="Q28" s="19">
        <f>IF(Q$5="","",CHOOSE(Q$5,KA1!$R29,KA2!$R29,KA3!$R29,KA4!$R29,KA5!$R29,KA6!$R29))</f>
        <v/>
      </c>
      <c r="R28" s="19">
        <f>IF(R$5="","",CHOOSE(R$5,KA1!$R29,KA2!$R29,KA3!$R29,KA4!$R29,KA5!$R29,KA6!$R29))</f>
        <v/>
      </c>
      <c r="S28" s="48">
        <f>IF(SUMPRODUCT(--ISNUMBER(T28:Y28),$T$4:$Y$4)=0,"",SUMPRODUCT(T28:Y28,$T$4:$Y$4)/SUMPRODUCT(--ISNUMBER(T28:Y28),$T$4:$Y$4))</f>
        <v/>
      </c>
      <c r="T28" s="49" t="inlineStr"/>
      <c r="U28" s="49" t="inlineStr"/>
      <c r="V28" s="49" t="inlineStr"/>
      <c r="W28" s="49" t="inlineStr"/>
      <c r="X28" s="49" t="inlineStr"/>
      <c r="Y28" s="49" t="inlineStr"/>
      <c r="Z28" s="47">
        <f>IF(((--ISNUMBER(D28))*$D$4+(--ISNUMBER(E28))*$E$4)=0,"",(IFERROR(D28*$D$4,0)+IFERROR(E28*$E$4,0))/((--ISNUMBER(D28))*$D$4+(--ISNUMBER(E28))*$E$4))</f>
        <v/>
      </c>
      <c r="AA28" s="50">
        <f>IF(Z28="","",ROUND(Z28,0))</f>
        <v/>
      </c>
      <c r="AB28" s="22">
        <f>IF(AA28="","",INDEX(Notentabelle!$B$4:$B$19,AA28+1))</f>
        <v/>
      </c>
    </row>
    <row r="29">
      <c r="A29" s="37" t="n">
        <v>23</v>
      </c>
      <c r="B29" s="31">
        <f>IF(INDEX(Klassenliste!$B$6:$B$40,23)=0,"",INDEX(Klassenliste!$B$6:$B$40,23))</f>
        <v/>
      </c>
      <c r="C29" s="31">
        <f>IF(INDEX(Klassenliste!$C$6:$C$40,23)=0,"",INDEX(Klassenliste!$C$6:$C$40,23))</f>
        <v/>
      </c>
      <c r="D29" s="47">
        <f>IF(((--ISNUMBER(F29))*$F$4+(--ISNUMBER(I29))*$I$4)=0,"",(IFERROR(F29*$F$4,0)+IFERROR(I29*$I$4,0))/((--ISNUMBER(F29))*$F$4+(--ISNUMBER(I29))*$I$4))</f>
        <v/>
      </c>
      <c r="E29" s="48">
        <f>IF(((--ISNUMBER(P29))*$P$4+(--ISNUMBER(S29))*$S$4)=0,"",(IFERROR(P29*$P$4,0)+IFERROR(S29*$S$4,0))/((--ISNUMBER(P29))*$P$4+(--ISNUMBER(S29))*$S$4))</f>
        <v/>
      </c>
      <c r="F29" s="47">
        <f>IF(SUMPRODUCT(--ISNUMBER(G29:H29),$G$4:$H$4)=0,"",SUMPRODUCT(G29:H29,$G$4:$H$4)/SUMPRODUCT(--ISNUMBER(G29:H29),$G$4:$H$4))</f>
        <v/>
      </c>
      <c r="G29" s="19">
        <f>IF(G$5="","",CHOOSE(G$5,KA1!$R30,KA2!$R30,KA3!$R30,KA4!$R30,KA5!$R30,KA6!$R30))</f>
        <v/>
      </c>
      <c r="H29" s="19">
        <f>IF(H$5="","",CHOOSE(H$5,KA1!$R30,KA2!$R30,KA3!$R30,KA4!$R30,KA5!$R30,KA6!$R30))</f>
        <v/>
      </c>
      <c r="I29" s="48">
        <f>IF(SUMPRODUCT(--ISNUMBER(J29:O29),$J$4:$O$4)=0,"",SUMPRODUCT(J29:O29,$J$4:$O$4)/SUMPRODUCT(--ISNUMBER(J29:O29),$J$4:$O$4))</f>
        <v/>
      </c>
      <c r="J29" s="49" t="inlineStr"/>
      <c r="K29" s="49" t="inlineStr"/>
      <c r="L29" s="49" t="inlineStr"/>
      <c r="M29" s="49" t="inlineStr"/>
      <c r="N29" s="49" t="inlineStr"/>
      <c r="O29" s="49" t="inlineStr"/>
      <c r="P29" s="47">
        <f>IF(SUMPRODUCT(--ISNUMBER(Q29:R29),$Q$4:$R$4)=0,"",SUMPRODUCT(Q29:R29,$Q$4:$R$4)/SUMPRODUCT(--ISNUMBER(Q29:R29),$Q$4:$R$4))</f>
        <v/>
      </c>
      <c r="Q29" s="19">
        <f>IF(Q$5="","",CHOOSE(Q$5,KA1!$R30,KA2!$R30,KA3!$R30,KA4!$R30,KA5!$R30,KA6!$R30))</f>
        <v/>
      </c>
      <c r="R29" s="19">
        <f>IF(R$5="","",CHOOSE(R$5,KA1!$R30,KA2!$R30,KA3!$R30,KA4!$R30,KA5!$R30,KA6!$R30))</f>
        <v/>
      </c>
      <c r="S29" s="48">
        <f>IF(SUMPRODUCT(--ISNUMBER(T29:Y29),$T$4:$Y$4)=0,"",SUMPRODUCT(T29:Y29,$T$4:$Y$4)/SUMPRODUCT(--ISNUMBER(T29:Y29),$T$4:$Y$4))</f>
        <v/>
      </c>
      <c r="T29" s="49" t="inlineStr"/>
      <c r="U29" s="49" t="inlineStr"/>
      <c r="V29" s="49" t="inlineStr"/>
      <c r="W29" s="49" t="inlineStr"/>
      <c r="X29" s="49" t="inlineStr"/>
      <c r="Y29" s="49" t="inlineStr"/>
      <c r="Z29" s="47">
        <f>IF(((--ISNUMBER(D29))*$D$4+(--ISNUMBER(E29))*$E$4)=0,"",(IFERROR(D29*$D$4,0)+IFERROR(E29*$E$4,0))/((--ISNUMBER(D29))*$D$4+(--ISNUMBER(E29))*$E$4))</f>
        <v/>
      </c>
      <c r="AA29" s="50">
        <f>IF(Z29="","",ROUND(Z29,0))</f>
        <v/>
      </c>
      <c r="AB29" s="22">
        <f>IF(AA29="","",INDEX(Notentabelle!$B$4:$B$19,AA29+1))</f>
        <v/>
      </c>
    </row>
    <row r="30">
      <c r="A30" s="37" t="n">
        <v>24</v>
      </c>
      <c r="B30" s="31">
        <f>IF(INDEX(Klassenliste!$B$6:$B$40,24)=0,"",INDEX(Klassenliste!$B$6:$B$40,24))</f>
        <v/>
      </c>
      <c r="C30" s="31">
        <f>IF(INDEX(Klassenliste!$C$6:$C$40,24)=0,"",INDEX(Klassenliste!$C$6:$C$40,24))</f>
        <v/>
      </c>
      <c r="D30" s="47">
        <f>IF(((--ISNUMBER(F30))*$F$4+(--ISNUMBER(I30))*$I$4)=0,"",(IFERROR(F30*$F$4,0)+IFERROR(I30*$I$4,0))/((--ISNUMBER(F30))*$F$4+(--ISNUMBER(I30))*$I$4))</f>
        <v/>
      </c>
      <c r="E30" s="48">
        <f>IF(((--ISNUMBER(P30))*$P$4+(--ISNUMBER(S30))*$S$4)=0,"",(IFERROR(P30*$P$4,0)+IFERROR(S30*$S$4,0))/((--ISNUMBER(P30))*$P$4+(--ISNUMBER(S30))*$S$4))</f>
        <v/>
      </c>
      <c r="F30" s="47">
        <f>IF(SUMPRODUCT(--ISNUMBER(G30:H30),$G$4:$H$4)=0,"",SUMPRODUCT(G30:H30,$G$4:$H$4)/SUMPRODUCT(--ISNUMBER(G30:H30),$G$4:$H$4))</f>
        <v/>
      </c>
      <c r="G30" s="19">
        <f>IF(G$5="","",CHOOSE(G$5,KA1!$R31,KA2!$R31,KA3!$R31,KA4!$R31,KA5!$R31,KA6!$R31))</f>
        <v/>
      </c>
      <c r="H30" s="19">
        <f>IF(H$5="","",CHOOSE(H$5,KA1!$R31,KA2!$R31,KA3!$R31,KA4!$R31,KA5!$R31,KA6!$R31))</f>
        <v/>
      </c>
      <c r="I30" s="48">
        <f>IF(SUMPRODUCT(--ISNUMBER(J30:O30),$J$4:$O$4)=0,"",SUMPRODUCT(J30:O30,$J$4:$O$4)/SUMPRODUCT(--ISNUMBER(J30:O30),$J$4:$O$4))</f>
        <v/>
      </c>
      <c r="J30" s="49" t="inlineStr"/>
      <c r="K30" s="49" t="inlineStr"/>
      <c r="L30" s="49" t="inlineStr"/>
      <c r="M30" s="49" t="inlineStr"/>
      <c r="N30" s="49" t="inlineStr"/>
      <c r="O30" s="49" t="inlineStr"/>
      <c r="P30" s="47">
        <f>IF(SUMPRODUCT(--ISNUMBER(Q30:R30),$Q$4:$R$4)=0,"",SUMPRODUCT(Q30:R30,$Q$4:$R$4)/SUMPRODUCT(--ISNUMBER(Q30:R30),$Q$4:$R$4))</f>
        <v/>
      </c>
      <c r="Q30" s="19">
        <f>IF(Q$5="","",CHOOSE(Q$5,KA1!$R31,KA2!$R31,KA3!$R31,KA4!$R31,KA5!$R31,KA6!$R31))</f>
        <v/>
      </c>
      <c r="R30" s="19">
        <f>IF(R$5="","",CHOOSE(R$5,KA1!$R31,KA2!$R31,KA3!$R31,KA4!$R31,KA5!$R31,KA6!$R31))</f>
        <v/>
      </c>
      <c r="S30" s="48">
        <f>IF(SUMPRODUCT(--ISNUMBER(T30:Y30),$T$4:$Y$4)=0,"",SUMPRODUCT(T30:Y30,$T$4:$Y$4)/SUMPRODUCT(--ISNUMBER(T30:Y30),$T$4:$Y$4))</f>
        <v/>
      </c>
      <c r="T30" s="49" t="inlineStr"/>
      <c r="U30" s="49" t="inlineStr"/>
      <c r="V30" s="49" t="inlineStr"/>
      <c r="W30" s="49" t="inlineStr"/>
      <c r="X30" s="49" t="inlineStr"/>
      <c r="Y30" s="49" t="inlineStr"/>
      <c r="Z30" s="47">
        <f>IF(((--ISNUMBER(D30))*$D$4+(--ISNUMBER(E30))*$E$4)=0,"",(IFERROR(D30*$D$4,0)+IFERROR(E30*$E$4,0))/((--ISNUMBER(D30))*$D$4+(--ISNUMBER(E30))*$E$4))</f>
        <v/>
      </c>
      <c r="AA30" s="50">
        <f>IF(Z30="","",ROUND(Z30,0))</f>
        <v/>
      </c>
      <c r="AB30" s="22">
        <f>IF(AA30="","",INDEX(Notentabelle!$B$4:$B$19,AA30+1))</f>
        <v/>
      </c>
    </row>
    <row r="31">
      <c r="A31" s="37" t="n">
        <v>25</v>
      </c>
      <c r="B31" s="31">
        <f>IF(INDEX(Klassenliste!$B$6:$B$40,25)=0,"",INDEX(Klassenliste!$B$6:$B$40,25))</f>
        <v/>
      </c>
      <c r="C31" s="31">
        <f>IF(INDEX(Klassenliste!$C$6:$C$40,25)=0,"",INDEX(Klassenliste!$C$6:$C$40,25))</f>
        <v/>
      </c>
      <c r="D31" s="47">
        <f>IF(((--ISNUMBER(F31))*$F$4+(--ISNUMBER(I31))*$I$4)=0,"",(IFERROR(F31*$F$4,0)+IFERROR(I31*$I$4,0))/((--ISNUMBER(F31))*$F$4+(--ISNUMBER(I31))*$I$4))</f>
        <v/>
      </c>
      <c r="E31" s="48">
        <f>IF(((--ISNUMBER(P31))*$P$4+(--ISNUMBER(S31))*$S$4)=0,"",(IFERROR(P31*$P$4,0)+IFERROR(S31*$S$4,0))/((--ISNUMBER(P31))*$P$4+(--ISNUMBER(S31))*$S$4))</f>
        <v/>
      </c>
      <c r="F31" s="47">
        <f>IF(SUMPRODUCT(--ISNUMBER(G31:H31),$G$4:$H$4)=0,"",SUMPRODUCT(G31:H31,$G$4:$H$4)/SUMPRODUCT(--ISNUMBER(G31:H31),$G$4:$H$4))</f>
        <v/>
      </c>
      <c r="G31" s="19">
        <f>IF(G$5="","",CHOOSE(G$5,KA1!$R32,KA2!$R32,KA3!$R32,KA4!$R32,KA5!$R32,KA6!$R32))</f>
        <v/>
      </c>
      <c r="H31" s="19">
        <f>IF(H$5="","",CHOOSE(H$5,KA1!$R32,KA2!$R32,KA3!$R32,KA4!$R32,KA5!$R32,KA6!$R32))</f>
        <v/>
      </c>
      <c r="I31" s="48">
        <f>IF(SUMPRODUCT(--ISNUMBER(J31:O31),$J$4:$O$4)=0,"",SUMPRODUCT(J31:O31,$J$4:$O$4)/SUMPRODUCT(--ISNUMBER(J31:O31),$J$4:$O$4))</f>
        <v/>
      </c>
      <c r="J31" s="49" t="inlineStr"/>
      <c r="K31" s="49" t="inlineStr"/>
      <c r="L31" s="49" t="inlineStr"/>
      <c r="M31" s="49" t="inlineStr"/>
      <c r="N31" s="49" t="inlineStr"/>
      <c r="O31" s="49" t="inlineStr"/>
      <c r="P31" s="47">
        <f>IF(SUMPRODUCT(--ISNUMBER(Q31:R31),$Q$4:$R$4)=0,"",SUMPRODUCT(Q31:R31,$Q$4:$R$4)/SUMPRODUCT(--ISNUMBER(Q31:R31),$Q$4:$R$4))</f>
        <v/>
      </c>
      <c r="Q31" s="19">
        <f>IF(Q$5="","",CHOOSE(Q$5,KA1!$R32,KA2!$R32,KA3!$R32,KA4!$R32,KA5!$R32,KA6!$R32))</f>
        <v/>
      </c>
      <c r="R31" s="19">
        <f>IF(R$5="","",CHOOSE(R$5,KA1!$R32,KA2!$R32,KA3!$R32,KA4!$R32,KA5!$R32,KA6!$R32))</f>
        <v/>
      </c>
      <c r="S31" s="48">
        <f>IF(SUMPRODUCT(--ISNUMBER(T31:Y31),$T$4:$Y$4)=0,"",SUMPRODUCT(T31:Y31,$T$4:$Y$4)/SUMPRODUCT(--ISNUMBER(T31:Y31),$T$4:$Y$4))</f>
        <v/>
      </c>
      <c r="T31" s="49" t="inlineStr"/>
      <c r="U31" s="49" t="inlineStr"/>
      <c r="V31" s="49" t="inlineStr"/>
      <c r="W31" s="49" t="inlineStr"/>
      <c r="X31" s="49" t="inlineStr"/>
      <c r="Y31" s="49" t="inlineStr"/>
      <c r="Z31" s="47">
        <f>IF(((--ISNUMBER(D31))*$D$4+(--ISNUMBER(E31))*$E$4)=0,"",(IFERROR(D31*$D$4,0)+IFERROR(E31*$E$4,0))/((--ISNUMBER(D31))*$D$4+(--ISNUMBER(E31))*$E$4))</f>
        <v/>
      </c>
      <c r="AA31" s="50">
        <f>IF(Z31="","",ROUND(Z31,0))</f>
        <v/>
      </c>
      <c r="AB31" s="22">
        <f>IF(AA31="","",INDEX(Notentabelle!$B$4:$B$19,AA31+1))</f>
        <v/>
      </c>
    </row>
    <row r="32">
      <c r="A32" s="37" t="n">
        <v>26</v>
      </c>
      <c r="B32" s="31">
        <f>IF(INDEX(Klassenliste!$B$6:$B$40,26)=0,"",INDEX(Klassenliste!$B$6:$B$40,26))</f>
        <v/>
      </c>
      <c r="C32" s="31">
        <f>IF(INDEX(Klassenliste!$C$6:$C$40,26)=0,"",INDEX(Klassenliste!$C$6:$C$40,26))</f>
        <v/>
      </c>
      <c r="D32" s="47">
        <f>IF(((--ISNUMBER(F32))*$F$4+(--ISNUMBER(I32))*$I$4)=0,"",(IFERROR(F32*$F$4,0)+IFERROR(I32*$I$4,0))/((--ISNUMBER(F32))*$F$4+(--ISNUMBER(I32))*$I$4))</f>
        <v/>
      </c>
      <c r="E32" s="48">
        <f>IF(((--ISNUMBER(P32))*$P$4+(--ISNUMBER(S32))*$S$4)=0,"",(IFERROR(P32*$P$4,0)+IFERROR(S32*$S$4,0))/((--ISNUMBER(P32))*$P$4+(--ISNUMBER(S32))*$S$4))</f>
        <v/>
      </c>
      <c r="F32" s="47">
        <f>IF(SUMPRODUCT(--ISNUMBER(G32:H32),$G$4:$H$4)=0,"",SUMPRODUCT(G32:H32,$G$4:$H$4)/SUMPRODUCT(--ISNUMBER(G32:H32),$G$4:$H$4))</f>
        <v/>
      </c>
      <c r="G32" s="19">
        <f>IF(G$5="","",CHOOSE(G$5,KA1!$R33,KA2!$R33,KA3!$R33,KA4!$R33,KA5!$R33,KA6!$R33))</f>
        <v/>
      </c>
      <c r="H32" s="19">
        <f>IF(H$5="","",CHOOSE(H$5,KA1!$R33,KA2!$R33,KA3!$R33,KA4!$R33,KA5!$R33,KA6!$R33))</f>
        <v/>
      </c>
      <c r="I32" s="48">
        <f>IF(SUMPRODUCT(--ISNUMBER(J32:O32),$J$4:$O$4)=0,"",SUMPRODUCT(J32:O32,$J$4:$O$4)/SUMPRODUCT(--ISNUMBER(J32:O32),$J$4:$O$4))</f>
        <v/>
      </c>
      <c r="J32" s="49" t="inlineStr"/>
      <c r="K32" s="49" t="inlineStr"/>
      <c r="L32" s="49" t="inlineStr"/>
      <c r="M32" s="49" t="inlineStr"/>
      <c r="N32" s="49" t="inlineStr"/>
      <c r="O32" s="49" t="inlineStr"/>
      <c r="P32" s="47">
        <f>IF(SUMPRODUCT(--ISNUMBER(Q32:R32),$Q$4:$R$4)=0,"",SUMPRODUCT(Q32:R32,$Q$4:$R$4)/SUMPRODUCT(--ISNUMBER(Q32:R32),$Q$4:$R$4))</f>
        <v/>
      </c>
      <c r="Q32" s="19">
        <f>IF(Q$5="","",CHOOSE(Q$5,KA1!$R33,KA2!$R33,KA3!$R33,KA4!$R33,KA5!$R33,KA6!$R33))</f>
        <v/>
      </c>
      <c r="R32" s="19">
        <f>IF(R$5="","",CHOOSE(R$5,KA1!$R33,KA2!$R33,KA3!$R33,KA4!$R33,KA5!$R33,KA6!$R33))</f>
        <v/>
      </c>
      <c r="S32" s="48">
        <f>IF(SUMPRODUCT(--ISNUMBER(T32:Y32),$T$4:$Y$4)=0,"",SUMPRODUCT(T32:Y32,$T$4:$Y$4)/SUMPRODUCT(--ISNUMBER(T32:Y32),$T$4:$Y$4))</f>
        <v/>
      </c>
      <c r="T32" s="49" t="inlineStr"/>
      <c r="U32" s="49" t="inlineStr"/>
      <c r="V32" s="49" t="inlineStr"/>
      <c r="W32" s="49" t="inlineStr"/>
      <c r="X32" s="49" t="inlineStr"/>
      <c r="Y32" s="49" t="inlineStr"/>
      <c r="Z32" s="47">
        <f>IF(((--ISNUMBER(D32))*$D$4+(--ISNUMBER(E32))*$E$4)=0,"",(IFERROR(D32*$D$4,0)+IFERROR(E32*$E$4,0))/((--ISNUMBER(D32))*$D$4+(--ISNUMBER(E32))*$E$4))</f>
        <v/>
      </c>
      <c r="AA32" s="50">
        <f>IF(Z32="","",ROUND(Z32,0))</f>
        <v/>
      </c>
      <c r="AB32" s="22">
        <f>IF(AA32="","",INDEX(Notentabelle!$B$4:$B$19,AA32+1))</f>
        <v/>
      </c>
    </row>
    <row r="33">
      <c r="A33" s="37" t="n">
        <v>27</v>
      </c>
      <c r="B33" s="31">
        <f>IF(INDEX(Klassenliste!$B$6:$B$40,27)=0,"",INDEX(Klassenliste!$B$6:$B$40,27))</f>
        <v/>
      </c>
      <c r="C33" s="31">
        <f>IF(INDEX(Klassenliste!$C$6:$C$40,27)=0,"",INDEX(Klassenliste!$C$6:$C$40,27))</f>
        <v/>
      </c>
      <c r="D33" s="47">
        <f>IF(((--ISNUMBER(F33))*$F$4+(--ISNUMBER(I33))*$I$4)=0,"",(IFERROR(F33*$F$4,0)+IFERROR(I33*$I$4,0))/((--ISNUMBER(F33))*$F$4+(--ISNUMBER(I33))*$I$4))</f>
        <v/>
      </c>
      <c r="E33" s="48">
        <f>IF(((--ISNUMBER(P33))*$P$4+(--ISNUMBER(S33))*$S$4)=0,"",(IFERROR(P33*$P$4,0)+IFERROR(S33*$S$4,0))/((--ISNUMBER(P33))*$P$4+(--ISNUMBER(S33))*$S$4))</f>
        <v/>
      </c>
      <c r="F33" s="47">
        <f>IF(SUMPRODUCT(--ISNUMBER(G33:H33),$G$4:$H$4)=0,"",SUMPRODUCT(G33:H33,$G$4:$H$4)/SUMPRODUCT(--ISNUMBER(G33:H33),$G$4:$H$4))</f>
        <v/>
      </c>
      <c r="G33" s="19">
        <f>IF(G$5="","",CHOOSE(G$5,KA1!$R34,KA2!$R34,KA3!$R34,KA4!$R34,KA5!$R34,KA6!$R34))</f>
        <v/>
      </c>
      <c r="H33" s="19">
        <f>IF(H$5="","",CHOOSE(H$5,KA1!$R34,KA2!$R34,KA3!$R34,KA4!$R34,KA5!$R34,KA6!$R34))</f>
        <v/>
      </c>
      <c r="I33" s="48">
        <f>IF(SUMPRODUCT(--ISNUMBER(J33:O33),$J$4:$O$4)=0,"",SUMPRODUCT(J33:O33,$J$4:$O$4)/SUMPRODUCT(--ISNUMBER(J33:O33),$J$4:$O$4))</f>
        <v/>
      </c>
      <c r="J33" s="49" t="inlineStr"/>
      <c r="K33" s="49" t="inlineStr"/>
      <c r="L33" s="49" t="inlineStr"/>
      <c r="M33" s="49" t="inlineStr"/>
      <c r="N33" s="49" t="inlineStr"/>
      <c r="O33" s="49" t="inlineStr"/>
      <c r="P33" s="47">
        <f>IF(SUMPRODUCT(--ISNUMBER(Q33:R33),$Q$4:$R$4)=0,"",SUMPRODUCT(Q33:R33,$Q$4:$R$4)/SUMPRODUCT(--ISNUMBER(Q33:R33),$Q$4:$R$4))</f>
        <v/>
      </c>
      <c r="Q33" s="19">
        <f>IF(Q$5="","",CHOOSE(Q$5,KA1!$R34,KA2!$R34,KA3!$R34,KA4!$R34,KA5!$R34,KA6!$R34))</f>
        <v/>
      </c>
      <c r="R33" s="19">
        <f>IF(R$5="","",CHOOSE(R$5,KA1!$R34,KA2!$R34,KA3!$R34,KA4!$R34,KA5!$R34,KA6!$R34))</f>
        <v/>
      </c>
      <c r="S33" s="48">
        <f>IF(SUMPRODUCT(--ISNUMBER(T33:Y33),$T$4:$Y$4)=0,"",SUMPRODUCT(T33:Y33,$T$4:$Y$4)/SUMPRODUCT(--ISNUMBER(T33:Y33),$T$4:$Y$4))</f>
        <v/>
      </c>
      <c r="T33" s="49" t="inlineStr"/>
      <c r="U33" s="49" t="inlineStr"/>
      <c r="V33" s="49" t="inlineStr"/>
      <c r="W33" s="49" t="inlineStr"/>
      <c r="X33" s="49" t="inlineStr"/>
      <c r="Y33" s="49" t="inlineStr"/>
      <c r="Z33" s="47">
        <f>IF(((--ISNUMBER(D33))*$D$4+(--ISNUMBER(E33))*$E$4)=0,"",(IFERROR(D33*$D$4,0)+IFERROR(E33*$E$4,0))/((--ISNUMBER(D33))*$D$4+(--ISNUMBER(E33))*$E$4))</f>
        <v/>
      </c>
      <c r="AA33" s="50">
        <f>IF(Z33="","",ROUND(Z33,0))</f>
        <v/>
      </c>
      <c r="AB33" s="22">
        <f>IF(AA33="","",INDEX(Notentabelle!$B$4:$B$19,AA33+1))</f>
        <v/>
      </c>
    </row>
    <row r="34">
      <c r="A34" s="37" t="n">
        <v>28</v>
      </c>
      <c r="B34" s="31">
        <f>IF(INDEX(Klassenliste!$B$6:$B$40,28)=0,"",INDEX(Klassenliste!$B$6:$B$40,28))</f>
        <v/>
      </c>
      <c r="C34" s="31">
        <f>IF(INDEX(Klassenliste!$C$6:$C$40,28)=0,"",INDEX(Klassenliste!$C$6:$C$40,28))</f>
        <v/>
      </c>
      <c r="D34" s="47">
        <f>IF(((--ISNUMBER(F34))*$F$4+(--ISNUMBER(I34))*$I$4)=0,"",(IFERROR(F34*$F$4,0)+IFERROR(I34*$I$4,0))/((--ISNUMBER(F34))*$F$4+(--ISNUMBER(I34))*$I$4))</f>
        <v/>
      </c>
      <c r="E34" s="48">
        <f>IF(((--ISNUMBER(P34))*$P$4+(--ISNUMBER(S34))*$S$4)=0,"",(IFERROR(P34*$P$4,0)+IFERROR(S34*$S$4,0))/((--ISNUMBER(P34))*$P$4+(--ISNUMBER(S34))*$S$4))</f>
        <v/>
      </c>
      <c r="F34" s="47">
        <f>IF(SUMPRODUCT(--ISNUMBER(G34:H34),$G$4:$H$4)=0,"",SUMPRODUCT(G34:H34,$G$4:$H$4)/SUMPRODUCT(--ISNUMBER(G34:H34),$G$4:$H$4))</f>
        <v/>
      </c>
      <c r="G34" s="19">
        <f>IF(G$5="","",CHOOSE(G$5,KA1!$R35,KA2!$R35,KA3!$R35,KA4!$R35,KA5!$R35,KA6!$R35))</f>
        <v/>
      </c>
      <c r="H34" s="19">
        <f>IF(H$5="","",CHOOSE(H$5,KA1!$R35,KA2!$R35,KA3!$R35,KA4!$R35,KA5!$R35,KA6!$R35))</f>
        <v/>
      </c>
      <c r="I34" s="48">
        <f>IF(SUMPRODUCT(--ISNUMBER(J34:O34),$J$4:$O$4)=0,"",SUMPRODUCT(J34:O34,$J$4:$O$4)/SUMPRODUCT(--ISNUMBER(J34:O34),$J$4:$O$4))</f>
        <v/>
      </c>
      <c r="J34" s="49" t="inlineStr"/>
      <c r="K34" s="49" t="inlineStr"/>
      <c r="L34" s="49" t="inlineStr"/>
      <c r="M34" s="49" t="inlineStr"/>
      <c r="N34" s="49" t="inlineStr"/>
      <c r="O34" s="49" t="inlineStr"/>
      <c r="P34" s="47">
        <f>IF(SUMPRODUCT(--ISNUMBER(Q34:R34),$Q$4:$R$4)=0,"",SUMPRODUCT(Q34:R34,$Q$4:$R$4)/SUMPRODUCT(--ISNUMBER(Q34:R34),$Q$4:$R$4))</f>
        <v/>
      </c>
      <c r="Q34" s="19">
        <f>IF(Q$5="","",CHOOSE(Q$5,KA1!$R35,KA2!$R35,KA3!$R35,KA4!$R35,KA5!$R35,KA6!$R35))</f>
        <v/>
      </c>
      <c r="R34" s="19">
        <f>IF(R$5="","",CHOOSE(R$5,KA1!$R35,KA2!$R35,KA3!$R35,KA4!$R35,KA5!$R35,KA6!$R35))</f>
        <v/>
      </c>
      <c r="S34" s="48">
        <f>IF(SUMPRODUCT(--ISNUMBER(T34:Y34),$T$4:$Y$4)=0,"",SUMPRODUCT(T34:Y34,$T$4:$Y$4)/SUMPRODUCT(--ISNUMBER(T34:Y34),$T$4:$Y$4))</f>
        <v/>
      </c>
      <c r="T34" s="49" t="inlineStr"/>
      <c r="U34" s="49" t="inlineStr"/>
      <c r="V34" s="49" t="inlineStr"/>
      <c r="W34" s="49" t="inlineStr"/>
      <c r="X34" s="49" t="inlineStr"/>
      <c r="Y34" s="49" t="inlineStr"/>
      <c r="Z34" s="47">
        <f>IF(((--ISNUMBER(D34))*$D$4+(--ISNUMBER(E34))*$E$4)=0,"",(IFERROR(D34*$D$4,0)+IFERROR(E34*$E$4,0))/((--ISNUMBER(D34))*$D$4+(--ISNUMBER(E34))*$E$4))</f>
        <v/>
      </c>
      <c r="AA34" s="50">
        <f>IF(Z34="","",ROUND(Z34,0))</f>
        <v/>
      </c>
      <c r="AB34" s="22">
        <f>IF(AA34="","",INDEX(Notentabelle!$B$4:$B$19,AA34+1))</f>
        <v/>
      </c>
    </row>
    <row r="35">
      <c r="A35" s="37" t="n">
        <v>29</v>
      </c>
      <c r="B35" s="31">
        <f>IF(INDEX(Klassenliste!$B$6:$B$40,29)=0,"",INDEX(Klassenliste!$B$6:$B$40,29))</f>
        <v/>
      </c>
      <c r="C35" s="31">
        <f>IF(INDEX(Klassenliste!$C$6:$C$40,29)=0,"",INDEX(Klassenliste!$C$6:$C$40,29))</f>
        <v/>
      </c>
      <c r="D35" s="47">
        <f>IF(((--ISNUMBER(F35))*$F$4+(--ISNUMBER(I35))*$I$4)=0,"",(IFERROR(F35*$F$4,0)+IFERROR(I35*$I$4,0))/((--ISNUMBER(F35))*$F$4+(--ISNUMBER(I35))*$I$4))</f>
        <v/>
      </c>
      <c r="E35" s="48">
        <f>IF(((--ISNUMBER(P35))*$P$4+(--ISNUMBER(S35))*$S$4)=0,"",(IFERROR(P35*$P$4,0)+IFERROR(S35*$S$4,0))/((--ISNUMBER(P35))*$P$4+(--ISNUMBER(S35))*$S$4))</f>
        <v/>
      </c>
      <c r="F35" s="47">
        <f>IF(SUMPRODUCT(--ISNUMBER(G35:H35),$G$4:$H$4)=0,"",SUMPRODUCT(G35:H35,$G$4:$H$4)/SUMPRODUCT(--ISNUMBER(G35:H35),$G$4:$H$4))</f>
        <v/>
      </c>
      <c r="G35" s="19">
        <f>IF(G$5="","",CHOOSE(G$5,KA1!$R36,KA2!$R36,KA3!$R36,KA4!$R36,KA5!$R36,KA6!$R36))</f>
        <v/>
      </c>
      <c r="H35" s="19">
        <f>IF(H$5="","",CHOOSE(H$5,KA1!$R36,KA2!$R36,KA3!$R36,KA4!$R36,KA5!$R36,KA6!$R36))</f>
        <v/>
      </c>
      <c r="I35" s="48">
        <f>IF(SUMPRODUCT(--ISNUMBER(J35:O35),$J$4:$O$4)=0,"",SUMPRODUCT(J35:O35,$J$4:$O$4)/SUMPRODUCT(--ISNUMBER(J35:O35),$J$4:$O$4))</f>
        <v/>
      </c>
      <c r="J35" s="49" t="inlineStr"/>
      <c r="K35" s="49" t="inlineStr"/>
      <c r="L35" s="49" t="inlineStr"/>
      <c r="M35" s="49" t="inlineStr"/>
      <c r="N35" s="49" t="inlineStr"/>
      <c r="O35" s="49" t="inlineStr"/>
      <c r="P35" s="47">
        <f>IF(SUMPRODUCT(--ISNUMBER(Q35:R35),$Q$4:$R$4)=0,"",SUMPRODUCT(Q35:R35,$Q$4:$R$4)/SUMPRODUCT(--ISNUMBER(Q35:R35),$Q$4:$R$4))</f>
        <v/>
      </c>
      <c r="Q35" s="19">
        <f>IF(Q$5="","",CHOOSE(Q$5,KA1!$R36,KA2!$R36,KA3!$R36,KA4!$R36,KA5!$R36,KA6!$R36))</f>
        <v/>
      </c>
      <c r="R35" s="19">
        <f>IF(R$5="","",CHOOSE(R$5,KA1!$R36,KA2!$R36,KA3!$R36,KA4!$R36,KA5!$R36,KA6!$R36))</f>
        <v/>
      </c>
      <c r="S35" s="48">
        <f>IF(SUMPRODUCT(--ISNUMBER(T35:Y35),$T$4:$Y$4)=0,"",SUMPRODUCT(T35:Y35,$T$4:$Y$4)/SUMPRODUCT(--ISNUMBER(T35:Y35),$T$4:$Y$4))</f>
        <v/>
      </c>
      <c r="T35" s="49" t="inlineStr"/>
      <c r="U35" s="49" t="inlineStr"/>
      <c r="V35" s="49" t="inlineStr"/>
      <c r="W35" s="49" t="inlineStr"/>
      <c r="X35" s="49" t="inlineStr"/>
      <c r="Y35" s="49" t="inlineStr"/>
      <c r="Z35" s="47">
        <f>IF(((--ISNUMBER(D35))*$D$4+(--ISNUMBER(E35))*$E$4)=0,"",(IFERROR(D35*$D$4,0)+IFERROR(E35*$E$4,0))/((--ISNUMBER(D35))*$D$4+(--ISNUMBER(E35))*$E$4))</f>
        <v/>
      </c>
      <c r="AA35" s="50">
        <f>IF(Z35="","",ROUND(Z35,0))</f>
        <v/>
      </c>
      <c r="AB35" s="22">
        <f>IF(AA35="","",INDEX(Notentabelle!$B$4:$B$19,AA35+1))</f>
        <v/>
      </c>
    </row>
    <row r="36">
      <c r="A36" s="37" t="n">
        <v>30</v>
      </c>
      <c r="B36" s="31">
        <f>IF(INDEX(Klassenliste!$B$6:$B$40,30)=0,"",INDEX(Klassenliste!$B$6:$B$40,30))</f>
        <v/>
      </c>
      <c r="C36" s="31">
        <f>IF(INDEX(Klassenliste!$C$6:$C$40,30)=0,"",INDEX(Klassenliste!$C$6:$C$40,30))</f>
        <v/>
      </c>
      <c r="D36" s="47">
        <f>IF(((--ISNUMBER(F36))*$F$4+(--ISNUMBER(I36))*$I$4)=0,"",(IFERROR(F36*$F$4,0)+IFERROR(I36*$I$4,0))/((--ISNUMBER(F36))*$F$4+(--ISNUMBER(I36))*$I$4))</f>
        <v/>
      </c>
      <c r="E36" s="48">
        <f>IF(((--ISNUMBER(P36))*$P$4+(--ISNUMBER(S36))*$S$4)=0,"",(IFERROR(P36*$P$4,0)+IFERROR(S36*$S$4,0))/((--ISNUMBER(P36))*$P$4+(--ISNUMBER(S36))*$S$4))</f>
        <v/>
      </c>
      <c r="F36" s="47">
        <f>IF(SUMPRODUCT(--ISNUMBER(G36:H36),$G$4:$H$4)=0,"",SUMPRODUCT(G36:H36,$G$4:$H$4)/SUMPRODUCT(--ISNUMBER(G36:H36),$G$4:$H$4))</f>
        <v/>
      </c>
      <c r="G36" s="19">
        <f>IF(G$5="","",CHOOSE(G$5,KA1!$R37,KA2!$R37,KA3!$R37,KA4!$R37,KA5!$R37,KA6!$R37))</f>
        <v/>
      </c>
      <c r="H36" s="19">
        <f>IF(H$5="","",CHOOSE(H$5,KA1!$R37,KA2!$R37,KA3!$R37,KA4!$R37,KA5!$R37,KA6!$R37))</f>
        <v/>
      </c>
      <c r="I36" s="48">
        <f>IF(SUMPRODUCT(--ISNUMBER(J36:O36),$J$4:$O$4)=0,"",SUMPRODUCT(J36:O36,$J$4:$O$4)/SUMPRODUCT(--ISNUMBER(J36:O36),$J$4:$O$4))</f>
        <v/>
      </c>
      <c r="J36" s="49" t="inlineStr"/>
      <c r="K36" s="49" t="inlineStr"/>
      <c r="L36" s="49" t="inlineStr"/>
      <c r="M36" s="49" t="inlineStr"/>
      <c r="N36" s="49" t="inlineStr"/>
      <c r="O36" s="49" t="inlineStr"/>
      <c r="P36" s="47">
        <f>IF(SUMPRODUCT(--ISNUMBER(Q36:R36),$Q$4:$R$4)=0,"",SUMPRODUCT(Q36:R36,$Q$4:$R$4)/SUMPRODUCT(--ISNUMBER(Q36:R36),$Q$4:$R$4))</f>
        <v/>
      </c>
      <c r="Q36" s="19">
        <f>IF(Q$5="","",CHOOSE(Q$5,KA1!$R37,KA2!$R37,KA3!$R37,KA4!$R37,KA5!$R37,KA6!$R37))</f>
        <v/>
      </c>
      <c r="R36" s="19">
        <f>IF(R$5="","",CHOOSE(R$5,KA1!$R37,KA2!$R37,KA3!$R37,KA4!$R37,KA5!$R37,KA6!$R37))</f>
        <v/>
      </c>
      <c r="S36" s="48">
        <f>IF(SUMPRODUCT(--ISNUMBER(T36:Y36),$T$4:$Y$4)=0,"",SUMPRODUCT(T36:Y36,$T$4:$Y$4)/SUMPRODUCT(--ISNUMBER(T36:Y36),$T$4:$Y$4))</f>
        <v/>
      </c>
      <c r="T36" s="49" t="inlineStr"/>
      <c r="U36" s="49" t="inlineStr"/>
      <c r="V36" s="49" t="inlineStr"/>
      <c r="W36" s="49" t="inlineStr"/>
      <c r="X36" s="49" t="inlineStr"/>
      <c r="Y36" s="49" t="inlineStr"/>
      <c r="Z36" s="47">
        <f>IF(((--ISNUMBER(D36))*$D$4+(--ISNUMBER(E36))*$E$4)=0,"",(IFERROR(D36*$D$4,0)+IFERROR(E36*$E$4,0))/((--ISNUMBER(D36))*$D$4+(--ISNUMBER(E36))*$E$4))</f>
        <v/>
      </c>
      <c r="AA36" s="50">
        <f>IF(Z36="","",ROUND(Z36,0))</f>
        <v/>
      </c>
      <c r="AB36" s="22">
        <f>IF(AA36="","",INDEX(Notentabelle!$B$4:$B$19,AA36+1))</f>
        <v/>
      </c>
    </row>
    <row r="37">
      <c r="A37" s="37" t="n">
        <v>31</v>
      </c>
      <c r="B37" s="31">
        <f>IF(INDEX(Klassenliste!$B$6:$B$40,31)=0,"",INDEX(Klassenliste!$B$6:$B$40,31))</f>
        <v/>
      </c>
      <c r="C37" s="31">
        <f>IF(INDEX(Klassenliste!$C$6:$C$40,31)=0,"",INDEX(Klassenliste!$C$6:$C$40,31))</f>
        <v/>
      </c>
      <c r="D37" s="47">
        <f>IF(((--ISNUMBER(F37))*$F$4+(--ISNUMBER(I37))*$I$4)=0,"",(IFERROR(F37*$F$4,0)+IFERROR(I37*$I$4,0))/((--ISNUMBER(F37))*$F$4+(--ISNUMBER(I37))*$I$4))</f>
        <v/>
      </c>
      <c r="E37" s="48">
        <f>IF(((--ISNUMBER(P37))*$P$4+(--ISNUMBER(S37))*$S$4)=0,"",(IFERROR(P37*$P$4,0)+IFERROR(S37*$S$4,0))/((--ISNUMBER(P37))*$P$4+(--ISNUMBER(S37))*$S$4))</f>
        <v/>
      </c>
      <c r="F37" s="47">
        <f>IF(SUMPRODUCT(--ISNUMBER(G37:H37),$G$4:$H$4)=0,"",SUMPRODUCT(G37:H37,$G$4:$H$4)/SUMPRODUCT(--ISNUMBER(G37:H37),$G$4:$H$4))</f>
        <v/>
      </c>
      <c r="G37" s="19">
        <f>IF(G$5="","",CHOOSE(G$5,KA1!$R38,KA2!$R38,KA3!$R38,KA4!$R38,KA5!$R38,KA6!$R38))</f>
        <v/>
      </c>
      <c r="H37" s="19">
        <f>IF(H$5="","",CHOOSE(H$5,KA1!$R38,KA2!$R38,KA3!$R38,KA4!$R38,KA5!$R38,KA6!$R38))</f>
        <v/>
      </c>
      <c r="I37" s="48">
        <f>IF(SUMPRODUCT(--ISNUMBER(J37:O37),$J$4:$O$4)=0,"",SUMPRODUCT(J37:O37,$J$4:$O$4)/SUMPRODUCT(--ISNUMBER(J37:O37),$J$4:$O$4))</f>
        <v/>
      </c>
      <c r="J37" s="49" t="inlineStr"/>
      <c r="K37" s="49" t="inlineStr"/>
      <c r="L37" s="49" t="inlineStr"/>
      <c r="M37" s="49" t="inlineStr"/>
      <c r="N37" s="49" t="inlineStr"/>
      <c r="O37" s="49" t="inlineStr"/>
      <c r="P37" s="47">
        <f>IF(SUMPRODUCT(--ISNUMBER(Q37:R37),$Q$4:$R$4)=0,"",SUMPRODUCT(Q37:R37,$Q$4:$R$4)/SUMPRODUCT(--ISNUMBER(Q37:R37),$Q$4:$R$4))</f>
        <v/>
      </c>
      <c r="Q37" s="19">
        <f>IF(Q$5="","",CHOOSE(Q$5,KA1!$R38,KA2!$R38,KA3!$R38,KA4!$R38,KA5!$R38,KA6!$R38))</f>
        <v/>
      </c>
      <c r="R37" s="19">
        <f>IF(R$5="","",CHOOSE(R$5,KA1!$R38,KA2!$R38,KA3!$R38,KA4!$R38,KA5!$R38,KA6!$R38))</f>
        <v/>
      </c>
      <c r="S37" s="48">
        <f>IF(SUMPRODUCT(--ISNUMBER(T37:Y37),$T$4:$Y$4)=0,"",SUMPRODUCT(T37:Y37,$T$4:$Y$4)/SUMPRODUCT(--ISNUMBER(T37:Y37),$T$4:$Y$4))</f>
        <v/>
      </c>
      <c r="T37" s="49" t="inlineStr"/>
      <c r="U37" s="49" t="inlineStr"/>
      <c r="V37" s="49" t="inlineStr"/>
      <c r="W37" s="49" t="inlineStr"/>
      <c r="X37" s="49" t="inlineStr"/>
      <c r="Y37" s="49" t="inlineStr"/>
      <c r="Z37" s="47">
        <f>IF(((--ISNUMBER(D37))*$D$4+(--ISNUMBER(E37))*$E$4)=0,"",(IFERROR(D37*$D$4,0)+IFERROR(E37*$E$4,0))/((--ISNUMBER(D37))*$D$4+(--ISNUMBER(E37))*$E$4))</f>
        <v/>
      </c>
      <c r="AA37" s="50">
        <f>IF(Z37="","",ROUND(Z37,0))</f>
        <v/>
      </c>
      <c r="AB37" s="22">
        <f>IF(AA37="","",INDEX(Notentabelle!$B$4:$B$19,AA37+1))</f>
        <v/>
      </c>
    </row>
    <row r="38">
      <c r="A38" s="37" t="n">
        <v>32</v>
      </c>
      <c r="B38" s="31">
        <f>IF(INDEX(Klassenliste!$B$6:$B$40,32)=0,"",INDEX(Klassenliste!$B$6:$B$40,32))</f>
        <v/>
      </c>
      <c r="C38" s="31">
        <f>IF(INDEX(Klassenliste!$C$6:$C$40,32)=0,"",INDEX(Klassenliste!$C$6:$C$40,32))</f>
        <v/>
      </c>
      <c r="D38" s="47">
        <f>IF(((--ISNUMBER(F38))*$F$4+(--ISNUMBER(I38))*$I$4)=0,"",(IFERROR(F38*$F$4,0)+IFERROR(I38*$I$4,0))/((--ISNUMBER(F38))*$F$4+(--ISNUMBER(I38))*$I$4))</f>
        <v/>
      </c>
      <c r="E38" s="48">
        <f>IF(((--ISNUMBER(P38))*$P$4+(--ISNUMBER(S38))*$S$4)=0,"",(IFERROR(P38*$P$4,0)+IFERROR(S38*$S$4,0))/((--ISNUMBER(P38))*$P$4+(--ISNUMBER(S38))*$S$4))</f>
        <v/>
      </c>
      <c r="F38" s="47">
        <f>IF(SUMPRODUCT(--ISNUMBER(G38:H38),$G$4:$H$4)=0,"",SUMPRODUCT(G38:H38,$G$4:$H$4)/SUMPRODUCT(--ISNUMBER(G38:H38),$G$4:$H$4))</f>
        <v/>
      </c>
      <c r="G38" s="19">
        <f>IF(G$5="","",CHOOSE(G$5,KA1!$R39,KA2!$R39,KA3!$R39,KA4!$R39,KA5!$R39,KA6!$R39))</f>
        <v/>
      </c>
      <c r="H38" s="19">
        <f>IF(H$5="","",CHOOSE(H$5,KA1!$R39,KA2!$R39,KA3!$R39,KA4!$R39,KA5!$R39,KA6!$R39))</f>
        <v/>
      </c>
      <c r="I38" s="48">
        <f>IF(SUMPRODUCT(--ISNUMBER(J38:O38),$J$4:$O$4)=0,"",SUMPRODUCT(J38:O38,$J$4:$O$4)/SUMPRODUCT(--ISNUMBER(J38:O38),$J$4:$O$4))</f>
        <v/>
      </c>
      <c r="J38" s="49" t="inlineStr"/>
      <c r="K38" s="49" t="inlineStr"/>
      <c r="L38" s="49" t="inlineStr"/>
      <c r="M38" s="49" t="inlineStr"/>
      <c r="N38" s="49" t="inlineStr"/>
      <c r="O38" s="49" t="inlineStr"/>
      <c r="P38" s="47">
        <f>IF(SUMPRODUCT(--ISNUMBER(Q38:R38),$Q$4:$R$4)=0,"",SUMPRODUCT(Q38:R38,$Q$4:$R$4)/SUMPRODUCT(--ISNUMBER(Q38:R38),$Q$4:$R$4))</f>
        <v/>
      </c>
      <c r="Q38" s="19">
        <f>IF(Q$5="","",CHOOSE(Q$5,KA1!$R39,KA2!$R39,KA3!$R39,KA4!$R39,KA5!$R39,KA6!$R39))</f>
        <v/>
      </c>
      <c r="R38" s="19">
        <f>IF(R$5="","",CHOOSE(R$5,KA1!$R39,KA2!$R39,KA3!$R39,KA4!$R39,KA5!$R39,KA6!$R39))</f>
        <v/>
      </c>
      <c r="S38" s="48">
        <f>IF(SUMPRODUCT(--ISNUMBER(T38:Y38),$T$4:$Y$4)=0,"",SUMPRODUCT(T38:Y38,$T$4:$Y$4)/SUMPRODUCT(--ISNUMBER(T38:Y38),$T$4:$Y$4))</f>
        <v/>
      </c>
      <c r="T38" s="49" t="inlineStr"/>
      <c r="U38" s="49" t="inlineStr"/>
      <c r="V38" s="49" t="inlineStr"/>
      <c r="W38" s="49" t="inlineStr"/>
      <c r="X38" s="49" t="inlineStr"/>
      <c r="Y38" s="49" t="inlineStr"/>
      <c r="Z38" s="47">
        <f>IF(((--ISNUMBER(D38))*$D$4+(--ISNUMBER(E38))*$E$4)=0,"",(IFERROR(D38*$D$4,0)+IFERROR(E38*$E$4,0))/((--ISNUMBER(D38))*$D$4+(--ISNUMBER(E38))*$E$4))</f>
        <v/>
      </c>
      <c r="AA38" s="50">
        <f>IF(Z38="","",ROUND(Z38,0))</f>
        <v/>
      </c>
      <c r="AB38" s="22">
        <f>IF(AA38="","",INDEX(Notentabelle!$B$4:$B$19,AA38+1))</f>
        <v/>
      </c>
    </row>
    <row r="39">
      <c r="A39" s="37" t="n">
        <v>33</v>
      </c>
      <c r="B39" s="31">
        <f>IF(INDEX(Klassenliste!$B$6:$B$40,33)=0,"",INDEX(Klassenliste!$B$6:$B$40,33))</f>
        <v/>
      </c>
      <c r="C39" s="31">
        <f>IF(INDEX(Klassenliste!$C$6:$C$40,33)=0,"",INDEX(Klassenliste!$C$6:$C$40,33))</f>
        <v/>
      </c>
      <c r="D39" s="47">
        <f>IF(((--ISNUMBER(F39))*$F$4+(--ISNUMBER(I39))*$I$4)=0,"",(IFERROR(F39*$F$4,0)+IFERROR(I39*$I$4,0))/((--ISNUMBER(F39))*$F$4+(--ISNUMBER(I39))*$I$4))</f>
        <v/>
      </c>
      <c r="E39" s="48">
        <f>IF(((--ISNUMBER(P39))*$P$4+(--ISNUMBER(S39))*$S$4)=0,"",(IFERROR(P39*$P$4,0)+IFERROR(S39*$S$4,0))/((--ISNUMBER(P39))*$P$4+(--ISNUMBER(S39))*$S$4))</f>
        <v/>
      </c>
      <c r="F39" s="47">
        <f>IF(SUMPRODUCT(--ISNUMBER(G39:H39),$G$4:$H$4)=0,"",SUMPRODUCT(G39:H39,$G$4:$H$4)/SUMPRODUCT(--ISNUMBER(G39:H39),$G$4:$H$4))</f>
        <v/>
      </c>
      <c r="G39" s="19">
        <f>IF(G$5="","",CHOOSE(G$5,KA1!$R40,KA2!$R40,KA3!$R40,KA4!$R40,KA5!$R40,KA6!$R40))</f>
        <v/>
      </c>
      <c r="H39" s="19">
        <f>IF(H$5="","",CHOOSE(H$5,KA1!$R40,KA2!$R40,KA3!$R40,KA4!$R40,KA5!$R40,KA6!$R40))</f>
        <v/>
      </c>
      <c r="I39" s="48">
        <f>IF(SUMPRODUCT(--ISNUMBER(J39:O39),$J$4:$O$4)=0,"",SUMPRODUCT(J39:O39,$J$4:$O$4)/SUMPRODUCT(--ISNUMBER(J39:O39),$J$4:$O$4))</f>
        <v/>
      </c>
      <c r="J39" s="49" t="inlineStr"/>
      <c r="K39" s="49" t="inlineStr"/>
      <c r="L39" s="49" t="inlineStr"/>
      <c r="M39" s="49" t="inlineStr"/>
      <c r="N39" s="49" t="inlineStr"/>
      <c r="O39" s="49" t="inlineStr"/>
      <c r="P39" s="47">
        <f>IF(SUMPRODUCT(--ISNUMBER(Q39:R39),$Q$4:$R$4)=0,"",SUMPRODUCT(Q39:R39,$Q$4:$R$4)/SUMPRODUCT(--ISNUMBER(Q39:R39),$Q$4:$R$4))</f>
        <v/>
      </c>
      <c r="Q39" s="19">
        <f>IF(Q$5="","",CHOOSE(Q$5,KA1!$R40,KA2!$R40,KA3!$R40,KA4!$R40,KA5!$R40,KA6!$R40))</f>
        <v/>
      </c>
      <c r="R39" s="19">
        <f>IF(R$5="","",CHOOSE(R$5,KA1!$R40,KA2!$R40,KA3!$R40,KA4!$R40,KA5!$R40,KA6!$R40))</f>
        <v/>
      </c>
      <c r="S39" s="48">
        <f>IF(SUMPRODUCT(--ISNUMBER(T39:Y39),$T$4:$Y$4)=0,"",SUMPRODUCT(T39:Y39,$T$4:$Y$4)/SUMPRODUCT(--ISNUMBER(T39:Y39),$T$4:$Y$4))</f>
        <v/>
      </c>
      <c r="T39" s="49" t="inlineStr"/>
      <c r="U39" s="49" t="inlineStr"/>
      <c r="V39" s="49" t="inlineStr"/>
      <c r="W39" s="49" t="inlineStr"/>
      <c r="X39" s="49" t="inlineStr"/>
      <c r="Y39" s="49" t="inlineStr"/>
      <c r="Z39" s="47">
        <f>IF(((--ISNUMBER(D39))*$D$4+(--ISNUMBER(E39))*$E$4)=0,"",(IFERROR(D39*$D$4,0)+IFERROR(E39*$E$4,0))/((--ISNUMBER(D39))*$D$4+(--ISNUMBER(E39))*$E$4))</f>
        <v/>
      </c>
      <c r="AA39" s="50">
        <f>IF(Z39="","",ROUND(Z39,0))</f>
        <v/>
      </c>
      <c r="AB39" s="22">
        <f>IF(AA39="","",INDEX(Notentabelle!$B$4:$B$19,AA39+1))</f>
        <v/>
      </c>
    </row>
    <row r="40">
      <c r="A40" s="37" t="n">
        <v>34</v>
      </c>
      <c r="B40" s="31">
        <f>IF(INDEX(Klassenliste!$B$6:$B$40,34)=0,"",INDEX(Klassenliste!$B$6:$B$40,34))</f>
        <v/>
      </c>
      <c r="C40" s="31">
        <f>IF(INDEX(Klassenliste!$C$6:$C$40,34)=0,"",INDEX(Klassenliste!$C$6:$C$40,34))</f>
        <v/>
      </c>
      <c r="D40" s="47">
        <f>IF(((--ISNUMBER(F40))*$F$4+(--ISNUMBER(I40))*$I$4)=0,"",(IFERROR(F40*$F$4,0)+IFERROR(I40*$I$4,0))/((--ISNUMBER(F40))*$F$4+(--ISNUMBER(I40))*$I$4))</f>
        <v/>
      </c>
      <c r="E40" s="48">
        <f>IF(((--ISNUMBER(P40))*$P$4+(--ISNUMBER(S40))*$S$4)=0,"",(IFERROR(P40*$P$4,0)+IFERROR(S40*$S$4,0))/((--ISNUMBER(P40))*$P$4+(--ISNUMBER(S40))*$S$4))</f>
        <v/>
      </c>
      <c r="F40" s="47">
        <f>IF(SUMPRODUCT(--ISNUMBER(G40:H40),$G$4:$H$4)=0,"",SUMPRODUCT(G40:H40,$G$4:$H$4)/SUMPRODUCT(--ISNUMBER(G40:H40),$G$4:$H$4))</f>
        <v/>
      </c>
      <c r="G40" s="19">
        <f>IF(G$5="","",CHOOSE(G$5,KA1!$R41,KA2!$R41,KA3!$R41,KA4!$R41,KA5!$R41,KA6!$R41))</f>
        <v/>
      </c>
      <c r="H40" s="19">
        <f>IF(H$5="","",CHOOSE(H$5,KA1!$R41,KA2!$R41,KA3!$R41,KA4!$R41,KA5!$R41,KA6!$R41))</f>
        <v/>
      </c>
      <c r="I40" s="48">
        <f>IF(SUMPRODUCT(--ISNUMBER(J40:O40),$J$4:$O$4)=0,"",SUMPRODUCT(J40:O40,$J$4:$O$4)/SUMPRODUCT(--ISNUMBER(J40:O40),$J$4:$O$4))</f>
        <v/>
      </c>
      <c r="J40" s="49" t="inlineStr"/>
      <c r="K40" s="49" t="inlineStr"/>
      <c r="L40" s="49" t="inlineStr"/>
      <c r="M40" s="49" t="inlineStr"/>
      <c r="N40" s="49" t="inlineStr"/>
      <c r="O40" s="49" t="inlineStr"/>
      <c r="P40" s="47">
        <f>IF(SUMPRODUCT(--ISNUMBER(Q40:R40),$Q$4:$R$4)=0,"",SUMPRODUCT(Q40:R40,$Q$4:$R$4)/SUMPRODUCT(--ISNUMBER(Q40:R40),$Q$4:$R$4))</f>
        <v/>
      </c>
      <c r="Q40" s="19">
        <f>IF(Q$5="","",CHOOSE(Q$5,KA1!$R41,KA2!$R41,KA3!$R41,KA4!$R41,KA5!$R41,KA6!$R41))</f>
        <v/>
      </c>
      <c r="R40" s="19">
        <f>IF(R$5="","",CHOOSE(R$5,KA1!$R41,KA2!$R41,KA3!$R41,KA4!$R41,KA5!$R41,KA6!$R41))</f>
        <v/>
      </c>
      <c r="S40" s="48">
        <f>IF(SUMPRODUCT(--ISNUMBER(T40:Y40),$T$4:$Y$4)=0,"",SUMPRODUCT(T40:Y40,$T$4:$Y$4)/SUMPRODUCT(--ISNUMBER(T40:Y40),$T$4:$Y$4))</f>
        <v/>
      </c>
      <c r="T40" s="49" t="inlineStr"/>
      <c r="U40" s="49" t="inlineStr"/>
      <c r="V40" s="49" t="inlineStr"/>
      <c r="W40" s="49" t="inlineStr"/>
      <c r="X40" s="49" t="inlineStr"/>
      <c r="Y40" s="49" t="inlineStr"/>
      <c r="Z40" s="47">
        <f>IF(((--ISNUMBER(D40))*$D$4+(--ISNUMBER(E40))*$E$4)=0,"",(IFERROR(D40*$D$4,0)+IFERROR(E40*$E$4,0))/((--ISNUMBER(D40))*$D$4+(--ISNUMBER(E40))*$E$4))</f>
        <v/>
      </c>
      <c r="AA40" s="50">
        <f>IF(Z40="","",ROUND(Z40,0))</f>
        <v/>
      </c>
      <c r="AB40" s="22">
        <f>IF(AA40="","",INDEX(Notentabelle!$B$4:$B$19,AA40+1))</f>
        <v/>
      </c>
    </row>
    <row r="41">
      <c r="A41" s="37" t="n">
        <v>35</v>
      </c>
      <c r="B41" s="31">
        <f>IF(INDEX(Klassenliste!$B$6:$B$40,35)=0,"",INDEX(Klassenliste!$B$6:$B$40,35))</f>
        <v/>
      </c>
      <c r="C41" s="31">
        <f>IF(INDEX(Klassenliste!$C$6:$C$40,35)=0,"",INDEX(Klassenliste!$C$6:$C$40,35))</f>
        <v/>
      </c>
      <c r="D41" s="47">
        <f>IF(((--ISNUMBER(F41))*$F$4+(--ISNUMBER(I41))*$I$4)=0,"",(IFERROR(F41*$F$4,0)+IFERROR(I41*$I$4,0))/((--ISNUMBER(F41))*$F$4+(--ISNUMBER(I41))*$I$4))</f>
        <v/>
      </c>
      <c r="E41" s="48">
        <f>IF(((--ISNUMBER(P41))*$P$4+(--ISNUMBER(S41))*$S$4)=0,"",(IFERROR(P41*$P$4,0)+IFERROR(S41*$S$4,0))/((--ISNUMBER(P41))*$P$4+(--ISNUMBER(S41))*$S$4))</f>
        <v/>
      </c>
      <c r="F41" s="47">
        <f>IF(SUMPRODUCT(--ISNUMBER(G41:H41),$G$4:$H$4)=0,"",SUMPRODUCT(G41:H41,$G$4:$H$4)/SUMPRODUCT(--ISNUMBER(G41:H41),$G$4:$H$4))</f>
        <v/>
      </c>
      <c r="G41" s="19">
        <f>IF(G$5="","",CHOOSE(G$5,KA1!$R42,KA2!$R42,KA3!$R42,KA4!$R42,KA5!$R42,KA6!$R42))</f>
        <v/>
      </c>
      <c r="H41" s="19">
        <f>IF(H$5="","",CHOOSE(H$5,KA1!$R42,KA2!$R42,KA3!$R42,KA4!$R42,KA5!$R42,KA6!$R42))</f>
        <v/>
      </c>
      <c r="I41" s="48">
        <f>IF(SUMPRODUCT(--ISNUMBER(J41:O41),$J$4:$O$4)=0,"",SUMPRODUCT(J41:O41,$J$4:$O$4)/SUMPRODUCT(--ISNUMBER(J41:O41),$J$4:$O$4))</f>
        <v/>
      </c>
      <c r="J41" s="49" t="inlineStr"/>
      <c r="K41" s="49" t="inlineStr"/>
      <c r="L41" s="49" t="inlineStr"/>
      <c r="M41" s="49" t="inlineStr"/>
      <c r="N41" s="49" t="inlineStr"/>
      <c r="O41" s="49" t="inlineStr"/>
      <c r="P41" s="47">
        <f>IF(SUMPRODUCT(--ISNUMBER(Q41:R41),$Q$4:$R$4)=0,"",SUMPRODUCT(Q41:R41,$Q$4:$R$4)/SUMPRODUCT(--ISNUMBER(Q41:R41),$Q$4:$R$4))</f>
        <v/>
      </c>
      <c r="Q41" s="19">
        <f>IF(Q$5="","",CHOOSE(Q$5,KA1!$R42,KA2!$R42,KA3!$R42,KA4!$R42,KA5!$R42,KA6!$R42))</f>
        <v/>
      </c>
      <c r="R41" s="19">
        <f>IF(R$5="","",CHOOSE(R$5,KA1!$R42,KA2!$R42,KA3!$R42,KA4!$R42,KA5!$R42,KA6!$R42))</f>
        <v/>
      </c>
      <c r="S41" s="48">
        <f>IF(SUMPRODUCT(--ISNUMBER(T41:Y41),$T$4:$Y$4)=0,"",SUMPRODUCT(T41:Y41,$T$4:$Y$4)/SUMPRODUCT(--ISNUMBER(T41:Y41),$T$4:$Y$4))</f>
        <v/>
      </c>
      <c r="T41" s="49" t="inlineStr"/>
      <c r="U41" s="49" t="inlineStr"/>
      <c r="V41" s="49" t="inlineStr"/>
      <c r="W41" s="49" t="inlineStr"/>
      <c r="X41" s="49" t="inlineStr"/>
      <c r="Y41" s="49" t="inlineStr"/>
      <c r="Z41" s="47">
        <f>IF(((--ISNUMBER(D41))*$D$4+(--ISNUMBER(E41))*$E$4)=0,"",(IFERROR(D41*$D$4,0)+IFERROR(E41*$E$4,0))/((--ISNUMBER(D41))*$D$4+(--ISNUMBER(E41))*$E$4))</f>
        <v/>
      </c>
      <c r="AA41" s="50">
        <f>IF(Z41="","",ROUND(Z41,0))</f>
        <v/>
      </c>
      <c r="AB41" s="22">
        <f>IF(AA41="","",INDEX(Notentabelle!$B$4:$B$19,AA41+1))</f>
        <v/>
      </c>
    </row>
  </sheetData>
  <sheetProtection selectLockedCells="0" selectUnlockedCells="0" sheet="1" objects="0" insertRows="1" insertHyperlinks="1" autoFilter="1" scenarios="0" formatColumns="0" deleteColumns="1" insertColumns="0" pivotTables="1" deleteRows="1" formatCells="1" formatRows="0" sort="1"/>
  <mergeCells count="5">
    <mergeCell ref="D3:E3"/>
    <mergeCell ref="F3:O3"/>
    <mergeCell ref="P3:Y3"/>
    <mergeCell ref="Z3:AB3"/>
    <mergeCell ref="A1:AA1"/>
  </mergeCells>
  <conditionalFormatting sqref="A7:AB41">
    <cfRule type="expression" priority="1" dxfId="1" stopIfTrue="1">
      <formula>$B7=""</formula>
    </cfRule>
  </conditionalFormatting>
  <conditionalFormatting sqref="AA7:AA41">
    <cfRule type="expression" priority="2" dxfId="2">
      <formula>AND(ISNUMBER(AA7),AA7&lt;5)</formula>
    </cfRule>
  </conditionalFormatting>
  <conditionalFormatting sqref="J7:O41">
    <cfRule type="expression" priority="3" dxfId="5">
      <formula>AND(J7&lt;&gt;"",J$4="")</formula>
    </cfRule>
  </conditionalFormatting>
  <conditionalFormatting sqref="T7:Y41">
    <cfRule type="expression" priority="4" dxfId="5">
      <formula>AND(T7&lt;&gt;"",T$4="")</formula>
    </cfRule>
  </conditionalFormatting>
  <dataValidations count="4">
    <dataValidation sqref="G5" showDropDown="0" showInputMessage="0" showErrorMessage="0" allowBlank="1" type="list">
      <formula1>"1,2,3,4,5,6"</formula1>
    </dataValidation>
    <dataValidation sqref="H5" showDropDown="0" showInputMessage="0" showErrorMessage="0" allowBlank="1" type="list">
      <formula1>"1,2,3,4,5,6"</formula1>
    </dataValidation>
    <dataValidation sqref="Q5" showDropDown="0" showInputMessage="0" showErrorMessage="0" allowBlank="1" type="list">
      <formula1>"1,2,3,4,5,6"</formula1>
    </dataValidation>
    <dataValidation sqref="R5" showDropDown="0" showInputMessage="0" showErrorMessage="0" allowBlank="1" type="list">
      <formula1>"1,2,3,4,5,6"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tabColor rgb="00B9C1C6"/>
    <outlinePr summaryBelow="1" summaryRight="1"/>
    <pageSetUpPr fitToPage="1"/>
  </sheetPr>
  <dimension ref="A1:AS40"/>
  <sheetViews>
    <sheetView showGridLines="0" zoomScale="10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5" customWidth="1" min="4" max="4"/>
    <col width="5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6.2" customWidth="1" min="32" max="32"/>
    <col width="6.2" customWidth="1" min="33" max="33"/>
    <col width="6.2" customWidth="1" min="34" max="34"/>
    <col width="6.2" customWidth="1" min="35" max="35"/>
    <col width="6.2" customWidth="1" min="36" max="36"/>
    <col width="6.2" customWidth="1" min="37" max="37"/>
    <col width="6.2" customWidth="1" min="38" max="38"/>
    <col width="6.2" customWidth="1" min="39" max="39"/>
    <col width="6.2" customWidth="1" min="40" max="40"/>
    <col width="6.2" customWidth="1" min="41" max="41"/>
    <col width="6.2" customWidth="1" min="42" max="42"/>
    <col width="6.2" customWidth="1" min="43" max="43"/>
    <col width="6.2" customWidth="1" min="44" max="44"/>
    <col width="6.2" customWidth="1" min="45" max="45"/>
  </cols>
  <sheetData>
    <row r="1" ht="26" customHeight="1">
      <c r="A1" s="1" t="inlineStr">
        <is>
          <t>Verspätungen · ganzes Schuljahr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8">
        <f>HYPERLINK("#Start!A1","⌂")</f>
        <v/>
      </c>
    </row>
    <row r="2" ht="14" customHeight="1">
      <c r="B2" s="12" t="inlineStr">
        <is>
          <t>Minuten in die Datumsspalte eintragen · Anz = wie oft · Min = Minuten gesamt</t>
        </is>
      </c>
    </row>
    <row r="4" ht="15" customHeight="1">
      <c r="E4" s="32" t="inlineStr">
        <is>
          <t>Datum →</t>
        </is>
      </c>
      <c r="F4" s="33" t="inlineStr"/>
      <c r="G4" s="33" t="inlineStr"/>
      <c r="H4" s="33" t="inlineStr"/>
      <c r="I4" s="33" t="inlineStr"/>
      <c r="J4" s="34" t="inlineStr"/>
      <c r="K4" s="33" t="inlineStr"/>
      <c r="L4" s="33" t="inlineStr"/>
      <c r="M4" s="33" t="inlineStr"/>
      <c r="N4" s="33" t="inlineStr"/>
      <c r="O4" s="34" t="inlineStr"/>
      <c r="P4" s="33" t="inlineStr"/>
      <c r="Q4" s="33" t="inlineStr"/>
      <c r="R4" s="33" t="inlineStr"/>
      <c r="S4" s="33" t="inlineStr"/>
      <c r="T4" s="34" t="inlineStr"/>
      <c r="U4" s="33" t="inlineStr"/>
      <c r="V4" s="33" t="inlineStr"/>
      <c r="W4" s="33" t="inlineStr"/>
      <c r="X4" s="33" t="inlineStr"/>
      <c r="Y4" s="34" t="inlineStr"/>
      <c r="Z4" s="33" t="inlineStr"/>
      <c r="AA4" s="33" t="inlineStr"/>
      <c r="AB4" s="33" t="inlineStr"/>
      <c r="AC4" s="33" t="inlineStr"/>
      <c r="AD4" s="34" t="inlineStr"/>
      <c r="AE4" s="33" t="inlineStr"/>
      <c r="AF4" s="33" t="inlineStr"/>
      <c r="AG4" s="33" t="inlineStr"/>
      <c r="AH4" s="33" t="inlineStr"/>
      <c r="AI4" s="34" t="inlineStr"/>
      <c r="AJ4" s="33" t="inlineStr"/>
      <c r="AK4" s="33" t="inlineStr"/>
      <c r="AL4" s="33" t="inlineStr"/>
      <c r="AM4" s="33" t="inlineStr"/>
      <c r="AN4" s="34" t="inlineStr"/>
      <c r="AO4" s="33" t="inlineStr"/>
      <c r="AP4" s="33" t="inlineStr"/>
      <c r="AQ4" s="33" t="inlineStr"/>
      <c r="AR4" s="33" t="inlineStr"/>
      <c r="AS4" s="34" t="inlineStr"/>
    </row>
    <row r="5" ht="18" customHeight="1">
      <c r="A5" s="17" t="inlineStr">
        <is>
          <t>Nr</t>
        </is>
      </c>
      <c r="B5" s="18" t="inlineStr">
        <is>
          <t>Name</t>
        </is>
      </c>
      <c r="C5" s="18" t="inlineStr">
        <is>
          <t>Vorname</t>
        </is>
      </c>
      <c r="D5" s="17" t="inlineStr">
        <is>
          <t>Anz</t>
        </is>
      </c>
      <c r="E5" s="35" t="inlineStr">
        <is>
          <t>Min</t>
        </is>
      </c>
      <c r="J5" s="36" t="n"/>
      <c r="O5" s="36" t="n"/>
      <c r="T5" s="36" t="n"/>
      <c r="Y5" s="36" t="n"/>
      <c r="AD5" s="36" t="n"/>
      <c r="AI5" s="36" t="n"/>
      <c r="AN5" s="36" t="n"/>
      <c r="AS5" s="36" t="n"/>
    </row>
    <row r="6">
      <c r="A6" s="37" t="n">
        <v>1</v>
      </c>
      <c r="B6" s="31">
        <f>IF(INDEX(Klassenliste!$B$6:$B$40,1)=0,"",INDEX(Klassenliste!$B$6:$B$40,1))</f>
        <v/>
      </c>
      <c r="C6" s="31">
        <f>IF(INDEX(Klassenliste!$C$6:$C$40,1)=0,"",INDEX(Klassenliste!$C$6:$C$40,1))</f>
        <v/>
      </c>
      <c r="D6" s="19">
        <f>IF($B6="","",COUNT(F6:AS6))</f>
        <v/>
      </c>
      <c r="E6" s="38">
        <f>IF($B6="","",SUM(F6:AS6))</f>
        <v/>
      </c>
      <c r="F6" s="51" t="inlineStr"/>
      <c r="G6" s="51" t="inlineStr"/>
      <c r="H6" s="51" t="inlineStr"/>
      <c r="I6" s="51" t="inlineStr"/>
      <c r="J6" s="52" t="inlineStr"/>
      <c r="K6" s="51" t="inlineStr"/>
      <c r="L6" s="51" t="inlineStr"/>
      <c r="M6" s="51" t="inlineStr"/>
      <c r="N6" s="51" t="inlineStr"/>
      <c r="O6" s="52" t="inlineStr"/>
      <c r="P6" s="51" t="inlineStr"/>
      <c r="Q6" s="51" t="inlineStr"/>
      <c r="R6" s="51" t="inlineStr"/>
      <c r="S6" s="51" t="inlineStr"/>
      <c r="T6" s="52" t="inlineStr"/>
      <c r="U6" s="51" t="inlineStr"/>
      <c r="V6" s="51" t="inlineStr"/>
      <c r="W6" s="51" t="inlineStr"/>
      <c r="X6" s="51" t="inlineStr"/>
      <c r="Y6" s="52" t="inlineStr"/>
      <c r="Z6" s="51" t="inlineStr"/>
      <c r="AA6" s="51" t="inlineStr"/>
      <c r="AB6" s="51" t="inlineStr"/>
      <c r="AC6" s="51" t="inlineStr"/>
      <c r="AD6" s="52" t="inlineStr"/>
      <c r="AE6" s="51" t="inlineStr"/>
      <c r="AF6" s="51" t="inlineStr"/>
      <c r="AG6" s="51" t="inlineStr"/>
      <c r="AH6" s="51" t="inlineStr"/>
      <c r="AI6" s="52" t="inlineStr"/>
      <c r="AJ6" s="51" t="inlineStr"/>
      <c r="AK6" s="51" t="inlineStr"/>
      <c r="AL6" s="51" t="inlineStr"/>
      <c r="AM6" s="51" t="inlineStr"/>
      <c r="AN6" s="52" t="inlineStr"/>
      <c r="AO6" s="51" t="inlineStr"/>
      <c r="AP6" s="51" t="inlineStr"/>
      <c r="AQ6" s="51" t="inlineStr"/>
      <c r="AR6" s="51" t="inlineStr"/>
      <c r="AS6" s="52" t="inlineStr"/>
    </row>
    <row r="7">
      <c r="A7" s="37" t="n">
        <v>2</v>
      </c>
      <c r="B7" s="31">
        <f>IF(INDEX(Klassenliste!$B$6:$B$40,2)=0,"",INDEX(Klassenliste!$B$6:$B$40,2))</f>
        <v/>
      </c>
      <c r="C7" s="31">
        <f>IF(INDEX(Klassenliste!$C$6:$C$40,2)=0,"",INDEX(Klassenliste!$C$6:$C$40,2))</f>
        <v/>
      </c>
      <c r="D7" s="19">
        <f>IF($B7="","",COUNT(F7:AS7))</f>
        <v/>
      </c>
      <c r="E7" s="38">
        <f>IF($B7="","",SUM(F7:AS7))</f>
        <v/>
      </c>
      <c r="F7" s="51" t="inlineStr"/>
      <c r="G7" s="51" t="inlineStr"/>
      <c r="H7" s="51" t="inlineStr"/>
      <c r="I7" s="51" t="inlineStr"/>
      <c r="J7" s="52" t="inlineStr"/>
      <c r="K7" s="51" t="inlineStr"/>
      <c r="L7" s="51" t="inlineStr"/>
      <c r="M7" s="51" t="inlineStr"/>
      <c r="N7" s="51" t="inlineStr"/>
      <c r="O7" s="52" t="inlineStr"/>
      <c r="P7" s="51" t="inlineStr"/>
      <c r="Q7" s="51" t="inlineStr"/>
      <c r="R7" s="51" t="inlineStr"/>
      <c r="S7" s="51" t="inlineStr"/>
      <c r="T7" s="52" t="inlineStr"/>
      <c r="U7" s="51" t="inlineStr"/>
      <c r="V7" s="51" t="inlineStr"/>
      <c r="W7" s="51" t="inlineStr"/>
      <c r="X7" s="51" t="inlineStr"/>
      <c r="Y7" s="52" t="inlineStr"/>
      <c r="Z7" s="51" t="inlineStr"/>
      <c r="AA7" s="51" t="inlineStr"/>
      <c r="AB7" s="51" t="inlineStr"/>
      <c r="AC7" s="51" t="inlineStr"/>
      <c r="AD7" s="52" t="inlineStr"/>
      <c r="AE7" s="51" t="inlineStr"/>
      <c r="AF7" s="51" t="inlineStr"/>
      <c r="AG7" s="51" t="inlineStr"/>
      <c r="AH7" s="51" t="inlineStr"/>
      <c r="AI7" s="52" t="inlineStr"/>
      <c r="AJ7" s="51" t="inlineStr"/>
      <c r="AK7" s="51" t="inlineStr"/>
      <c r="AL7" s="51" t="inlineStr"/>
      <c r="AM7" s="51" t="inlineStr"/>
      <c r="AN7" s="52" t="inlineStr"/>
      <c r="AO7" s="51" t="inlineStr"/>
      <c r="AP7" s="51" t="inlineStr"/>
      <c r="AQ7" s="51" t="inlineStr"/>
      <c r="AR7" s="51" t="inlineStr"/>
      <c r="AS7" s="52" t="inlineStr"/>
    </row>
    <row r="8">
      <c r="A8" s="37" t="n">
        <v>3</v>
      </c>
      <c r="B8" s="31">
        <f>IF(INDEX(Klassenliste!$B$6:$B$40,3)=0,"",INDEX(Klassenliste!$B$6:$B$40,3))</f>
        <v/>
      </c>
      <c r="C8" s="31">
        <f>IF(INDEX(Klassenliste!$C$6:$C$40,3)=0,"",INDEX(Klassenliste!$C$6:$C$40,3))</f>
        <v/>
      </c>
      <c r="D8" s="19">
        <f>IF($B8="","",COUNT(F8:AS8))</f>
        <v/>
      </c>
      <c r="E8" s="38">
        <f>IF($B8="","",SUM(F8:AS8))</f>
        <v/>
      </c>
      <c r="F8" s="51" t="inlineStr"/>
      <c r="G8" s="51" t="inlineStr"/>
      <c r="H8" s="51" t="inlineStr"/>
      <c r="I8" s="51" t="inlineStr"/>
      <c r="J8" s="52" t="inlineStr"/>
      <c r="K8" s="51" t="inlineStr"/>
      <c r="L8" s="51" t="inlineStr"/>
      <c r="M8" s="51" t="inlineStr"/>
      <c r="N8" s="51" t="inlineStr"/>
      <c r="O8" s="52" t="inlineStr"/>
      <c r="P8" s="51" t="inlineStr"/>
      <c r="Q8" s="51" t="inlineStr"/>
      <c r="R8" s="51" t="inlineStr"/>
      <c r="S8" s="51" t="inlineStr"/>
      <c r="T8" s="52" t="inlineStr"/>
      <c r="U8" s="51" t="inlineStr"/>
      <c r="V8" s="51" t="inlineStr"/>
      <c r="W8" s="51" t="inlineStr"/>
      <c r="X8" s="51" t="inlineStr"/>
      <c r="Y8" s="52" t="inlineStr"/>
      <c r="Z8" s="51" t="inlineStr"/>
      <c r="AA8" s="51" t="inlineStr"/>
      <c r="AB8" s="51" t="inlineStr"/>
      <c r="AC8" s="51" t="inlineStr"/>
      <c r="AD8" s="52" t="inlineStr"/>
      <c r="AE8" s="51" t="inlineStr"/>
      <c r="AF8" s="51" t="inlineStr"/>
      <c r="AG8" s="51" t="inlineStr"/>
      <c r="AH8" s="51" t="inlineStr"/>
      <c r="AI8" s="52" t="inlineStr"/>
      <c r="AJ8" s="51" t="inlineStr"/>
      <c r="AK8" s="51" t="inlineStr"/>
      <c r="AL8" s="51" t="inlineStr"/>
      <c r="AM8" s="51" t="inlineStr"/>
      <c r="AN8" s="52" t="inlineStr"/>
      <c r="AO8" s="51" t="inlineStr"/>
      <c r="AP8" s="51" t="inlineStr"/>
      <c r="AQ8" s="51" t="inlineStr"/>
      <c r="AR8" s="51" t="inlineStr"/>
      <c r="AS8" s="52" t="inlineStr"/>
    </row>
    <row r="9">
      <c r="A9" s="37" t="n">
        <v>4</v>
      </c>
      <c r="B9" s="31">
        <f>IF(INDEX(Klassenliste!$B$6:$B$40,4)=0,"",INDEX(Klassenliste!$B$6:$B$40,4))</f>
        <v/>
      </c>
      <c r="C9" s="31">
        <f>IF(INDEX(Klassenliste!$C$6:$C$40,4)=0,"",INDEX(Klassenliste!$C$6:$C$40,4))</f>
        <v/>
      </c>
      <c r="D9" s="19">
        <f>IF($B9="","",COUNT(F9:AS9))</f>
        <v/>
      </c>
      <c r="E9" s="38">
        <f>IF($B9="","",SUM(F9:AS9))</f>
        <v/>
      </c>
      <c r="F9" s="51" t="inlineStr"/>
      <c r="G9" s="51" t="inlineStr"/>
      <c r="H9" s="51" t="inlineStr"/>
      <c r="I9" s="51" t="inlineStr"/>
      <c r="J9" s="52" t="inlineStr"/>
      <c r="K9" s="51" t="inlineStr"/>
      <c r="L9" s="51" t="inlineStr"/>
      <c r="M9" s="51" t="inlineStr"/>
      <c r="N9" s="51" t="inlineStr"/>
      <c r="O9" s="52" t="inlineStr"/>
      <c r="P9" s="51" t="inlineStr"/>
      <c r="Q9" s="51" t="inlineStr"/>
      <c r="R9" s="51" t="inlineStr"/>
      <c r="S9" s="51" t="inlineStr"/>
      <c r="T9" s="52" t="inlineStr"/>
      <c r="U9" s="51" t="inlineStr"/>
      <c r="V9" s="51" t="inlineStr"/>
      <c r="W9" s="51" t="inlineStr"/>
      <c r="X9" s="51" t="inlineStr"/>
      <c r="Y9" s="52" t="inlineStr"/>
      <c r="Z9" s="51" t="inlineStr"/>
      <c r="AA9" s="51" t="inlineStr"/>
      <c r="AB9" s="51" t="inlineStr"/>
      <c r="AC9" s="51" t="inlineStr"/>
      <c r="AD9" s="52" t="inlineStr"/>
      <c r="AE9" s="51" t="inlineStr"/>
      <c r="AF9" s="51" t="inlineStr"/>
      <c r="AG9" s="51" t="inlineStr"/>
      <c r="AH9" s="51" t="inlineStr"/>
      <c r="AI9" s="52" t="inlineStr"/>
      <c r="AJ9" s="51" t="inlineStr"/>
      <c r="AK9" s="51" t="inlineStr"/>
      <c r="AL9" s="51" t="inlineStr"/>
      <c r="AM9" s="51" t="inlineStr"/>
      <c r="AN9" s="52" t="inlineStr"/>
      <c r="AO9" s="51" t="inlineStr"/>
      <c r="AP9" s="51" t="inlineStr"/>
      <c r="AQ9" s="51" t="inlineStr"/>
      <c r="AR9" s="51" t="inlineStr"/>
      <c r="AS9" s="52" t="inlineStr"/>
    </row>
    <row r="10">
      <c r="A10" s="37" t="n">
        <v>5</v>
      </c>
      <c r="B10" s="31">
        <f>IF(INDEX(Klassenliste!$B$6:$B$40,5)=0,"",INDEX(Klassenliste!$B$6:$B$40,5))</f>
        <v/>
      </c>
      <c r="C10" s="31">
        <f>IF(INDEX(Klassenliste!$C$6:$C$40,5)=0,"",INDEX(Klassenliste!$C$6:$C$40,5))</f>
        <v/>
      </c>
      <c r="D10" s="19">
        <f>IF($B10="","",COUNT(F10:AS10))</f>
        <v/>
      </c>
      <c r="E10" s="38">
        <f>IF($B10="","",SUM(F10:AS10))</f>
        <v/>
      </c>
      <c r="F10" s="51" t="inlineStr"/>
      <c r="G10" s="51" t="inlineStr"/>
      <c r="H10" s="51" t="inlineStr"/>
      <c r="I10" s="51" t="inlineStr"/>
      <c r="J10" s="52" t="inlineStr"/>
      <c r="K10" s="51" t="inlineStr"/>
      <c r="L10" s="51" t="inlineStr"/>
      <c r="M10" s="51" t="inlineStr"/>
      <c r="N10" s="51" t="inlineStr"/>
      <c r="O10" s="52" t="inlineStr"/>
      <c r="P10" s="51" t="inlineStr"/>
      <c r="Q10" s="51" t="inlineStr"/>
      <c r="R10" s="51" t="inlineStr"/>
      <c r="S10" s="51" t="inlineStr"/>
      <c r="T10" s="52" t="inlineStr"/>
      <c r="U10" s="51" t="inlineStr"/>
      <c r="V10" s="51" t="inlineStr"/>
      <c r="W10" s="51" t="inlineStr"/>
      <c r="X10" s="51" t="inlineStr"/>
      <c r="Y10" s="52" t="inlineStr"/>
      <c r="Z10" s="51" t="inlineStr"/>
      <c r="AA10" s="51" t="inlineStr"/>
      <c r="AB10" s="51" t="inlineStr"/>
      <c r="AC10" s="51" t="inlineStr"/>
      <c r="AD10" s="52" t="inlineStr"/>
      <c r="AE10" s="51" t="inlineStr"/>
      <c r="AF10" s="51" t="inlineStr"/>
      <c r="AG10" s="51" t="inlineStr"/>
      <c r="AH10" s="51" t="inlineStr"/>
      <c r="AI10" s="52" t="inlineStr"/>
      <c r="AJ10" s="51" t="inlineStr"/>
      <c r="AK10" s="51" t="inlineStr"/>
      <c r="AL10" s="51" t="inlineStr"/>
      <c r="AM10" s="51" t="inlineStr"/>
      <c r="AN10" s="52" t="inlineStr"/>
      <c r="AO10" s="51" t="inlineStr"/>
      <c r="AP10" s="51" t="inlineStr"/>
      <c r="AQ10" s="51" t="inlineStr"/>
      <c r="AR10" s="51" t="inlineStr"/>
      <c r="AS10" s="52" t="inlineStr"/>
    </row>
    <row r="11">
      <c r="A11" s="37" t="n">
        <v>6</v>
      </c>
      <c r="B11" s="31">
        <f>IF(INDEX(Klassenliste!$B$6:$B$40,6)=0,"",INDEX(Klassenliste!$B$6:$B$40,6))</f>
        <v/>
      </c>
      <c r="C11" s="31">
        <f>IF(INDEX(Klassenliste!$C$6:$C$40,6)=0,"",INDEX(Klassenliste!$C$6:$C$40,6))</f>
        <v/>
      </c>
      <c r="D11" s="19">
        <f>IF($B11="","",COUNT(F11:AS11))</f>
        <v/>
      </c>
      <c r="E11" s="38">
        <f>IF($B11="","",SUM(F11:AS11))</f>
        <v/>
      </c>
      <c r="F11" s="51" t="inlineStr"/>
      <c r="G11" s="51" t="inlineStr"/>
      <c r="H11" s="51" t="inlineStr"/>
      <c r="I11" s="51" t="inlineStr"/>
      <c r="J11" s="52" t="inlineStr"/>
      <c r="K11" s="51" t="inlineStr"/>
      <c r="L11" s="51" t="inlineStr"/>
      <c r="M11" s="51" t="inlineStr"/>
      <c r="N11" s="51" t="inlineStr"/>
      <c r="O11" s="52" t="inlineStr"/>
      <c r="P11" s="51" t="inlineStr"/>
      <c r="Q11" s="51" t="inlineStr"/>
      <c r="R11" s="51" t="inlineStr"/>
      <c r="S11" s="51" t="inlineStr"/>
      <c r="T11" s="52" t="inlineStr"/>
      <c r="U11" s="51" t="inlineStr"/>
      <c r="V11" s="51" t="inlineStr"/>
      <c r="W11" s="51" t="inlineStr"/>
      <c r="X11" s="51" t="inlineStr"/>
      <c r="Y11" s="52" t="inlineStr"/>
      <c r="Z11" s="51" t="inlineStr"/>
      <c r="AA11" s="51" t="inlineStr"/>
      <c r="AB11" s="51" t="inlineStr"/>
      <c r="AC11" s="51" t="inlineStr"/>
      <c r="AD11" s="52" t="inlineStr"/>
      <c r="AE11" s="51" t="inlineStr"/>
      <c r="AF11" s="51" t="inlineStr"/>
      <c r="AG11" s="51" t="inlineStr"/>
      <c r="AH11" s="51" t="inlineStr"/>
      <c r="AI11" s="52" t="inlineStr"/>
      <c r="AJ11" s="51" t="inlineStr"/>
      <c r="AK11" s="51" t="inlineStr"/>
      <c r="AL11" s="51" t="inlineStr"/>
      <c r="AM11" s="51" t="inlineStr"/>
      <c r="AN11" s="52" t="inlineStr"/>
      <c r="AO11" s="51" t="inlineStr"/>
      <c r="AP11" s="51" t="inlineStr"/>
      <c r="AQ11" s="51" t="inlineStr"/>
      <c r="AR11" s="51" t="inlineStr"/>
      <c r="AS11" s="52" t="inlineStr"/>
    </row>
    <row r="12">
      <c r="A12" s="37" t="n">
        <v>7</v>
      </c>
      <c r="B12" s="31">
        <f>IF(INDEX(Klassenliste!$B$6:$B$40,7)=0,"",INDEX(Klassenliste!$B$6:$B$40,7))</f>
        <v/>
      </c>
      <c r="C12" s="31">
        <f>IF(INDEX(Klassenliste!$C$6:$C$40,7)=0,"",INDEX(Klassenliste!$C$6:$C$40,7))</f>
        <v/>
      </c>
      <c r="D12" s="19">
        <f>IF($B12="","",COUNT(F12:AS12))</f>
        <v/>
      </c>
      <c r="E12" s="38">
        <f>IF($B12="","",SUM(F12:AS12))</f>
        <v/>
      </c>
      <c r="F12" s="51" t="inlineStr"/>
      <c r="G12" s="51" t="inlineStr"/>
      <c r="H12" s="51" t="inlineStr"/>
      <c r="I12" s="51" t="inlineStr"/>
      <c r="J12" s="52" t="inlineStr"/>
      <c r="K12" s="51" t="inlineStr"/>
      <c r="L12" s="51" t="inlineStr"/>
      <c r="M12" s="51" t="inlineStr"/>
      <c r="N12" s="51" t="inlineStr"/>
      <c r="O12" s="52" t="inlineStr"/>
      <c r="P12" s="51" t="inlineStr"/>
      <c r="Q12" s="51" t="inlineStr"/>
      <c r="R12" s="51" t="inlineStr"/>
      <c r="S12" s="51" t="inlineStr"/>
      <c r="T12" s="52" t="inlineStr"/>
      <c r="U12" s="51" t="inlineStr"/>
      <c r="V12" s="51" t="inlineStr"/>
      <c r="W12" s="51" t="inlineStr"/>
      <c r="X12" s="51" t="inlineStr"/>
      <c r="Y12" s="52" t="inlineStr"/>
      <c r="Z12" s="51" t="inlineStr"/>
      <c r="AA12" s="51" t="inlineStr"/>
      <c r="AB12" s="51" t="inlineStr"/>
      <c r="AC12" s="51" t="inlineStr"/>
      <c r="AD12" s="52" t="inlineStr"/>
      <c r="AE12" s="51" t="inlineStr"/>
      <c r="AF12" s="51" t="inlineStr"/>
      <c r="AG12" s="51" t="inlineStr"/>
      <c r="AH12" s="51" t="inlineStr"/>
      <c r="AI12" s="52" t="inlineStr"/>
      <c r="AJ12" s="51" t="inlineStr"/>
      <c r="AK12" s="51" t="inlineStr"/>
      <c r="AL12" s="51" t="inlineStr"/>
      <c r="AM12" s="51" t="inlineStr"/>
      <c r="AN12" s="52" t="inlineStr"/>
      <c r="AO12" s="51" t="inlineStr"/>
      <c r="AP12" s="51" t="inlineStr"/>
      <c r="AQ12" s="51" t="inlineStr"/>
      <c r="AR12" s="51" t="inlineStr"/>
      <c r="AS12" s="52" t="inlineStr"/>
    </row>
    <row r="13">
      <c r="A13" s="37" t="n">
        <v>8</v>
      </c>
      <c r="B13" s="31">
        <f>IF(INDEX(Klassenliste!$B$6:$B$40,8)=0,"",INDEX(Klassenliste!$B$6:$B$40,8))</f>
        <v/>
      </c>
      <c r="C13" s="31">
        <f>IF(INDEX(Klassenliste!$C$6:$C$40,8)=0,"",INDEX(Klassenliste!$C$6:$C$40,8))</f>
        <v/>
      </c>
      <c r="D13" s="19">
        <f>IF($B13="","",COUNT(F13:AS13))</f>
        <v/>
      </c>
      <c r="E13" s="38">
        <f>IF($B13="","",SUM(F13:AS13))</f>
        <v/>
      </c>
      <c r="F13" s="51" t="inlineStr"/>
      <c r="G13" s="51" t="inlineStr"/>
      <c r="H13" s="51" t="inlineStr"/>
      <c r="I13" s="51" t="inlineStr"/>
      <c r="J13" s="52" t="inlineStr"/>
      <c r="K13" s="51" t="inlineStr"/>
      <c r="L13" s="51" t="inlineStr"/>
      <c r="M13" s="51" t="inlineStr"/>
      <c r="N13" s="51" t="inlineStr"/>
      <c r="O13" s="52" t="inlineStr"/>
      <c r="P13" s="51" t="inlineStr"/>
      <c r="Q13" s="51" t="inlineStr"/>
      <c r="R13" s="51" t="inlineStr"/>
      <c r="S13" s="51" t="inlineStr"/>
      <c r="T13" s="52" t="inlineStr"/>
      <c r="U13" s="51" t="inlineStr"/>
      <c r="V13" s="51" t="inlineStr"/>
      <c r="W13" s="51" t="inlineStr"/>
      <c r="X13" s="51" t="inlineStr"/>
      <c r="Y13" s="52" t="inlineStr"/>
      <c r="Z13" s="51" t="inlineStr"/>
      <c r="AA13" s="51" t="inlineStr"/>
      <c r="AB13" s="51" t="inlineStr"/>
      <c r="AC13" s="51" t="inlineStr"/>
      <c r="AD13" s="52" t="inlineStr"/>
      <c r="AE13" s="51" t="inlineStr"/>
      <c r="AF13" s="51" t="inlineStr"/>
      <c r="AG13" s="51" t="inlineStr"/>
      <c r="AH13" s="51" t="inlineStr"/>
      <c r="AI13" s="52" t="inlineStr"/>
      <c r="AJ13" s="51" t="inlineStr"/>
      <c r="AK13" s="51" t="inlineStr"/>
      <c r="AL13" s="51" t="inlineStr"/>
      <c r="AM13" s="51" t="inlineStr"/>
      <c r="AN13" s="52" t="inlineStr"/>
      <c r="AO13" s="51" t="inlineStr"/>
      <c r="AP13" s="51" t="inlineStr"/>
      <c r="AQ13" s="51" t="inlineStr"/>
      <c r="AR13" s="51" t="inlineStr"/>
      <c r="AS13" s="52" t="inlineStr"/>
    </row>
    <row r="14">
      <c r="A14" s="37" t="n">
        <v>9</v>
      </c>
      <c r="B14" s="31">
        <f>IF(INDEX(Klassenliste!$B$6:$B$40,9)=0,"",INDEX(Klassenliste!$B$6:$B$40,9))</f>
        <v/>
      </c>
      <c r="C14" s="31">
        <f>IF(INDEX(Klassenliste!$C$6:$C$40,9)=0,"",INDEX(Klassenliste!$C$6:$C$40,9))</f>
        <v/>
      </c>
      <c r="D14" s="19">
        <f>IF($B14="","",COUNT(F14:AS14))</f>
        <v/>
      </c>
      <c r="E14" s="38">
        <f>IF($B14="","",SUM(F14:AS14))</f>
        <v/>
      </c>
      <c r="F14" s="51" t="inlineStr"/>
      <c r="G14" s="51" t="inlineStr"/>
      <c r="H14" s="51" t="inlineStr"/>
      <c r="I14" s="51" t="inlineStr"/>
      <c r="J14" s="52" t="inlineStr"/>
      <c r="K14" s="51" t="inlineStr"/>
      <c r="L14" s="51" t="inlineStr"/>
      <c r="M14" s="51" t="inlineStr"/>
      <c r="N14" s="51" t="inlineStr"/>
      <c r="O14" s="52" t="inlineStr"/>
      <c r="P14" s="51" t="inlineStr"/>
      <c r="Q14" s="51" t="inlineStr"/>
      <c r="R14" s="51" t="inlineStr"/>
      <c r="S14" s="51" t="inlineStr"/>
      <c r="T14" s="52" t="inlineStr"/>
      <c r="U14" s="51" t="inlineStr"/>
      <c r="V14" s="51" t="inlineStr"/>
      <c r="W14" s="51" t="inlineStr"/>
      <c r="X14" s="51" t="inlineStr"/>
      <c r="Y14" s="52" t="inlineStr"/>
      <c r="Z14" s="51" t="inlineStr"/>
      <c r="AA14" s="51" t="inlineStr"/>
      <c r="AB14" s="51" t="inlineStr"/>
      <c r="AC14" s="51" t="inlineStr"/>
      <c r="AD14" s="52" t="inlineStr"/>
      <c r="AE14" s="51" t="inlineStr"/>
      <c r="AF14" s="51" t="inlineStr"/>
      <c r="AG14" s="51" t="inlineStr"/>
      <c r="AH14" s="51" t="inlineStr"/>
      <c r="AI14" s="52" t="inlineStr"/>
      <c r="AJ14" s="51" t="inlineStr"/>
      <c r="AK14" s="51" t="inlineStr"/>
      <c r="AL14" s="51" t="inlineStr"/>
      <c r="AM14" s="51" t="inlineStr"/>
      <c r="AN14" s="52" t="inlineStr"/>
      <c r="AO14" s="51" t="inlineStr"/>
      <c r="AP14" s="51" t="inlineStr"/>
      <c r="AQ14" s="51" t="inlineStr"/>
      <c r="AR14" s="51" t="inlineStr"/>
      <c r="AS14" s="52" t="inlineStr"/>
    </row>
    <row r="15">
      <c r="A15" s="37" t="n">
        <v>10</v>
      </c>
      <c r="B15" s="31">
        <f>IF(INDEX(Klassenliste!$B$6:$B$40,10)=0,"",INDEX(Klassenliste!$B$6:$B$40,10))</f>
        <v/>
      </c>
      <c r="C15" s="31">
        <f>IF(INDEX(Klassenliste!$C$6:$C$40,10)=0,"",INDEX(Klassenliste!$C$6:$C$40,10))</f>
        <v/>
      </c>
      <c r="D15" s="19">
        <f>IF($B15="","",COUNT(F15:AS15))</f>
        <v/>
      </c>
      <c r="E15" s="38">
        <f>IF($B15="","",SUM(F15:AS15))</f>
        <v/>
      </c>
      <c r="F15" s="51" t="inlineStr"/>
      <c r="G15" s="51" t="inlineStr"/>
      <c r="H15" s="51" t="inlineStr"/>
      <c r="I15" s="51" t="inlineStr"/>
      <c r="J15" s="52" t="inlineStr"/>
      <c r="K15" s="51" t="inlineStr"/>
      <c r="L15" s="51" t="inlineStr"/>
      <c r="M15" s="51" t="inlineStr"/>
      <c r="N15" s="51" t="inlineStr"/>
      <c r="O15" s="52" t="inlineStr"/>
      <c r="P15" s="51" t="inlineStr"/>
      <c r="Q15" s="51" t="inlineStr"/>
      <c r="R15" s="51" t="inlineStr"/>
      <c r="S15" s="51" t="inlineStr"/>
      <c r="T15" s="52" t="inlineStr"/>
      <c r="U15" s="51" t="inlineStr"/>
      <c r="V15" s="51" t="inlineStr"/>
      <c r="W15" s="51" t="inlineStr"/>
      <c r="X15" s="51" t="inlineStr"/>
      <c r="Y15" s="52" t="inlineStr"/>
      <c r="Z15" s="51" t="inlineStr"/>
      <c r="AA15" s="51" t="inlineStr"/>
      <c r="AB15" s="51" t="inlineStr"/>
      <c r="AC15" s="51" t="inlineStr"/>
      <c r="AD15" s="52" t="inlineStr"/>
      <c r="AE15" s="51" t="inlineStr"/>
      <c r="AF15" s="51" t="inlineStr"/>
      <c r="AG15" s="51" t="inlineStr"/>
      <c r="AH15" s="51" t="inlineStr"/>
      <c r="AI15" s="52" t="inlineStr"/>
      <c r="AJ15" s="51" t="inlineStr"/>
      <c r="AK15" s="51" t="inlineStr"/>
      <c r="AL15" s="51" t="inlineStr"/>
      <c r="AM15" s="51" t="inlineStr"/>
      <c r="AN15" s="52" t="inlineStr"/>
      <c r="AO15" s="51" t="inlineStr"/>
      <c r="AP15" s="51" t="inlineStr"/>
      <c r="AQ15" s="51" t="inlineStr"/>
      <c r="AR15" s="51" t="inlineStr"/>
      <c r="AS15" s="52" t="inlineStr"/>
    </row>
    <row r="16">
      <c r="A16" s="37" t="n">
        <v>11</v>
      </c>
      <c r="B16" s="31">
        <f>IF(INDEX(Klassenliste!$B$6:$B$40,11)=0,"",INDEX(Klassenliste!$B$6:$B$40,11))</f>
        <v/>
      </c>
      <c r="C16" s="31">
        <f>IF(INDEX(Klassenliste!$C$6:$C$40,11)=0,"",INDEX(Klassenliste!$C$6:$C$40,11))</f>
        <v/>
      </c>
      <c r="D16" s="19">
        <f>IF($B16="","",COUNT(F16:AS16))</f>
        <v/>
      </c>
      <c r="E16" s="38">
        <f>IF($B16="","",SUM(F16:AS16))</f>
        <v/>
      </c>
      <c r="F16" s="51" t="inlineStr"/>
      <c r="G16" s="51" t="inlineStr"/>
      <c r="H16" s="51" t="inlineStr"/>
      <c r="I16" s="51" t="inlineStr"/>
      <c r="J16" s="52" t="inlineStr"/>
      <c r="K16" s="51" t="inlineStr"/>
      <c r="L16" s="51" t="inlineStr"/>
      <c r="M16" s="51" t="inlineStr"/>
      <c r="N16" s="51" t="inlineStr"/>
      <c r="O16" s="52" t="inlineStr"/>
      <c r="P16" s="51" t="inlineStr"/>
      <c r="Q16" s="51" t="inlineStr"/>
      <c r="R16" s="51" t="inlineStr"/>
      <c r="S16" s="51" t="inlineStr"/>
      <c r="T16" s="52" t="inlineStr"/>
      <c r="U16" s="51" t="inlineStr"/>
      <c r="V16" s="51" t="inlineStr"/>
      <c r="W16" s="51" t="inlineStr"/>
      <c r="X16" s="51" t="inlineStr"/>
      <c r="Y16" s="52" t="inlineStr"/>
      <c r="Z16" s="51" t="inlineStr"/>
      <c r="AA16" s="51" t="inlineStr"/>
      <c r="AB16" s="51" t="inlineStr"/>
      <c r="AC16" s="51" t="inlineStr"/>
      <c r="AD16" s="52" t="inlineStr"/>
      <c r="AE16" s="51" t="inlineStr"/>
      <c r="AF16" s="51" t="inlineStr"/>
      <c r="AG16" s="51" t="inlineStr"/>
      <c r="AH16" s="51" t="inlineStr"/>
      <c r="AI16" s="52" t="inlineStr"/>
      <c r="AJ16" s="51" t="inlineStr"/>
      <c r="AK16" s="51" t="inlineStr"/>
      <c r="AL16" s="51" t="inlineStr"/>
      <c r="AM16" s="51" t="inlineStr"/>
      <c r="AN16" s="52" t="inlineStr"/>
      <c r="AO16" s="51" t="inlineStr"/>
      <c r="AP16" s="51" t="inlineStr"/>
      <c r="AQ16" s="51" t="inlineStr"/>
      <c r="AR16" s="51" t="inlineStr"/>
      <c r="AS16" s="52" t="inlineStr"/>
    </row>
    <row r="17">
      <c r="A17" s="37" t="n">
        <v>12</v>
      </c>
      <c r="B17" s="31">
        <f>IF(INDEX(Klassenliste!$B$6:$B$40,12)=0,"",INDEX(Klassenliste!$B$6:$B$40,12))</f>
        <v/>
      </c>
      <c r="C17" s="31">
        <f>IF(INDEX(Klassenliste!$C$6:$C$40,12)=0,"",INDEX(Klassenliste!$C$6:$C$40,12))</f>
        <v/>
      </c>
      <c r="D17" s="19">
        <f>IF($B17="","",COUNT(F17:AS17))</f>
        <v/>
      </c>
      <c r="E17" s="38">
        <f>IF($B17="","",SUM(F17:AS17))</f>
        <v/>
      </c>
      <c r="F17" s="51" t="inlineStr"/>
      <c r="G17" s="51" t="inlineStr"/>
      <c r="H17" s="51" t="inlineStr"/>
      <c r="I17" s="51" t="inlineStr"/>
      <c r="J17" s="52" t="inlineStr"/>
      <c r="K17" s="51" t="inlineStr"/>
      <c r="L17" s="51" t="inlineStr"/>
      <c r="M17" s="51" t="inlineStr"/>
      <c r="N17" s="51" t="inlineStr"/>
      <c r="O17" s="52" t="inlineStr"/>
      <c r="P17" s="51" t="inlineStr"/>
      <c r="Q17" s="51" t="inlineStr"/>
      <c r="R17" s="51" t="inlineStr"/>
      <c r="S17" s="51" t="inlineStr"/>
      <c r="T17" s="52" t="inlineStr"/>
      <c r="U17" s="51" t="inlineStr"/>
      <c r="V17" s="51" t="inlineStr"/>
      <c r="W17" s="51" t="inlineStr"/>
      <c r="X17" s="51" t="inlineStr"/>
      <c r="Y17" s="52" t="inlineStr"/>
      <c r="Z17" s="51" t="inlineStr"/>
      <c r="AA17" s="51" t="inlineStr"/>
      <c r="AB17" s="51" t="inlineStr"/>
      <c r="AC17" s="51" t="inlineStr"/>
      <c r="AD17" s="52" t="inlineStr"/>
      <c r="AE17" s="51" t="inlineStr"/>
      <c r="AF17" s="51" t="inlineStr"/>
      <c r="AG17" s="51" t="inlineStr"/>
      <c r="AH17" s="51" t="inlineStr"/>
      <c r="AI17" s="52" t="inlineStr"/>
      <c r="AJ17" s="51" t="inlineStr"/>
      <c r="AK17" s="51" t="inlineStr"/>
      <c r="AL17" s="51" t="inlineStr"/>
      <c r="AM17" s="51" t="inlineStr"/>
      <c r="AN17" s="52" t="inlineStr"/>
      <c r="AO17" s="51" t="inlineStr"/>
      <c r="AP17" s="51" t="inlineStr"/>
      <c r="AQ17" s="51" t="inlineStr"/>
      <c r="AR17" s="51" t="inlineStr"/>
      <c r="AS17" s="52" t="inlineStr"/>
    </row>
    <row r="18">
      <c r="A18" s="37" t="n">
        <v>13</v>
      </c>
      <c r="B18" s="31">
        <f>IF(INDEX(Klassenliste!$B$6:$B$40,13)=0,"",INDEX(Klassenliste!$B$6:$B$40,13))</f>
        <v/>
      </c>
      <c r="C18" s="31">
        <f>IF(INDEX(Klassenliste!$C$6:$C$40,13)=0,"",INDEX(Klassenliste!$C$6:$C$40,13))</f>
        <v/>
      </c>
      <c r="D18" s="19">
        <f>IF($B18="","",COUNT(F18:AS18))</f>
        <v/>
      </c>
      <c r="E18" s="38">
        <f>IF($B18="","",SUM(F18:AS18))</f>
        <v/>
      </c>
      <c r="F18" s="51" t="inlineStr"/>
      <c r="G18" s="51" t="inlineStr"/>
      <c r="H18" s="51" t="inlineStr"/>
      <c r="I18" s="51" t="inlineStr"/>
      <c r="J18" s="52" t="inlineStr"/>
      <c r="K18" s="51" t="inlineStr"/>
      <c r="L18" s="51" t="inlineStr"/>
      <c r="M18" s="51" t="inlineStr"/>
      <c r="N18" s="51" t="inlineStr"/>
      <c r="O18" s="52" t="inlineStr"/>
      <c r="P18" s="51" t="inlineStr"/>
      <c r="Q18" s="51" t="inlineStr"/>
      <c r="R18" s="51" t="inlineStr"/>
      <c r="S18" s="51" t="inlineStr"/>
      <c r="T18" s="52" t="inlineStr"/>
      <c r="U18" s="51" t="inlineStr"/>
      <c r="V18" s="51" t="inlineStr"/>
      <c r="W18" s="51" t="inlineStr"/>
      <c r="X18" s="51" t="inlineStr"/>
      <c r="Y18" s="52" t="inlineStr"/>
      <c r="Z18" s="51" t="inlineStr"/>
      <c r="AA18" s="51" t="inlineStr"/>
      <c r="AB18" s="51" t="inlineStr"/>
      <c r="AC18" s="51" t="inlineStr"/>
      <c r="AD18" s="52" t="inlineStr"/>
      <c r="AE18" s="51" t="inlineStr"/>
      <c r="AF18" s="51" t="inlineStr"/>
      <c r="AG18" s="51" t="inlineStr"/>
      <c r="AH18" s="51" t="inlineStr"/>
      <c r="AI18" s="52" t="inlineStr"/>
      <c r="AJ18" s="51" t="inlineStr"/>
      <c r="AK18" s="51" t="inlineStr"/>
      <c r="AL18" s="51" t="inlineStr"/>
      <c r="AM18" s="51" t="inlineStr"/>
      <c r="AN18" s="52" t="inlineStr"/>
      <c r="AO18" s="51" t="inlineStr"/>
      <c r="AP18" s="51" t="inlineStr"/>
      <c r="AQ18" s="51" t="inlineStr"/>
      <c r="AR18" s="51" t="inlineStr"/>
      <c r="AS18" s="52" t="inlineStr"/>
    </row>
    <row r="19">
      <c r="A19" s="37" t="n">
        <v>14</v>
      </c>
      <c r="B19" s="31">
        <f>IF(INDEX(Klassenliste!$B$6:$B$40,14)=0,"",INDEX(Klassenliste!$B$6:$B$40,14))</f>
        <v/>
      </c>
      <c r="C19" s="31">
        <f>IF(INDEX(Klassenliste!$C$6:$C$40,14)=0,"",INDEX(Klassenliste!$C$6:$C$40,14))</f>
        <v/>
      </c>
      <c r="D19" s="19">
        <f>IF($B19="","",COUNT(F19:AS19))</f>
        <v/>
      </c>
      <c r="E19" s="38">
        <f>IF($B19="","",SUM(F19:AS19))</f>
        <v/>
      </c>
      <c r="F19" s="51" t="inlineStr"/>
      <c r="G19" s="51" t="inlineStr"/>
      <c r="H19" s="51" t="inlineStr"/>
      <c r="I19" s="51" t="inlineStr"/>
      <c r="J19" s="52" t="inlineStr"/>
      <c r="K19" s="51" t="inlineStr"/>
      <c r="L19" s="51" t="inlineStr"/>
      <c r="M19" s="51" t="inlineStr"/>
      <c r="N19" s="51" t="inlineStr"/>
      <c r="O19" s="52" t="inlineStr"/>
      <c r="P19" s="51" t="inlineStr"/>
      <c r="Q19" s="51" t="inlineStr"/>
      <c r="R19" s="51" t="inlineStr"/>
      <c r="S19" s="51" t="inlineStr"/>
      <c r="T19" s="52" t="inlineStr"/>
      <c r="U19" s="51" t="inlineStr"/>
      <c r="V19" s="51" t="inlineStr"/>
      <c r="W19" s="51" t="inlineStr"/>
      <c r="X19" s="51" t="inlineStr"/>
      <c r="Y19" s="52" t="inlineStr"/>
      <c r="Z19" s="51" t="inlineStr"/>
      <c r="AA19" s="51" t="inlineStr"/>
      <c r="AB19" s="51" t="inlineStr"/>
      <c r="AC19" s="51" t="inlineStr"/>
      <c r="AD19" s="52" t="inlineStr"/>
      <c r="AE19" s="51" t="inlineStr"/>
      <c r="AF19" s="51" t="inlineStr"/>
      <c r="AG19" s="51" t="inlineStr"/>
      <c r="AH19" s="51" t="inlineStr"/>
      <c r="AI19" s="52" t="inlineStr"/>
      <c r="AJ19" s="51" t="inlineStr"/>
      <c r="AK19" s="51" t="inlineStr"/>
      <c r="AL19" s="51" t="inlineStr"/>
      <c r="AM19" s="51" t="inlineStr"/>
      <c r="AN19" s="52" t="inlineStr"/>
      <c r="AO19" s="51" t="inlineStr"/>
      <c r="AP19" s="51" t="inlineStr"/>
      <c r="AQ19" s="51" t="inlineStr"/>
      <c r="AR19" s="51" t="inlineStr"/>
      <c r="AS19" s="52" t="inlineStr"/>
    </row>
    <row r="20">
      <c r="A20" s="37" t="n">
        <v>15</v>
      </c>
      <c r="B20" s="31">
        <f>IF(INDEX(Klassenliste!$B$6:$B$40,15)=0,"",INDEX(Klassenliste!$B$6:$B$40,15))</f>
        <v/>
      </c>
      <c r="C20" s="31">
        <f>IF(INDEX(Klassenliste!$C$6:$C$40,15)=0,"",INDEX(Klassenliste!$C$6:$C$40,15))</f>
        <v/>
      </c>
      <c r="D20" s="19">
        <f>IF($B20="","",COUNT(F20:AS20))</f>
        <v/>
      </c>
      <c r="E20" s="38">
        <f>IF($B20="","",SUM(F20:AS20))</f>
        <v/>
      </c>
      <c r="F20" s="51" t="inlineStr"/>
      <c r="G20" s="51" t="inlineStr"/>
      <c r="H20" s="51" t="inlineStr"/>
      <c r="I20" s="51" t="inlineStr"/>
      <c r="J20" s="52" t="inlineStr"/>
      <c r="K20" s="51" t="inlineStr"/>
      <c r="L20" s="51" t="inlineStr"/>
      <c r="M20" s="51" t="inlineStr"/>
      <c r="N20" s="51" t="inlineStr"/>
      <c r="O20" s="52" t="inlineStr"/>
      <c r="P20" s="51" t="inlineStr"/>
      <c r="Q20" s="51" t="inlineStr"/>
      <c r="R20" s="51" t="inlineStr"/>
      <c r="S20" s="51" t="inlineStr"/>
      <c r="T20" s="52" t="inlineStr"/>
      <c r="U20" s="51" t="inlineStr"/>
      <c r="V20" s="51" t="inlineStr"/>
      <c r="W20" s="51" t="inlineStr"/>
      <c r="X20" s="51" t="inlineStr"/>
      <c r="Y20" s="52" t="inlineStr"/>
      <c r="Z20" s="51" t="inlineStr"/>
      <c r="AA20" s="51" t="inlineStr"/>
      <c r="AB20" s="51" t="inlineStr"/>
      <c r="AC20" s="51" t="inlineStr"/>
      <c r="AD20" s="52" t="inlineStr"/>
      <c r="AE20" s="51" t="inlineStr"/>
      <c r="AF20" s="51" t="inlineStr"/>
      <c r="AG20" s="51" t="inlineStr"/>
      <c r="AH20" s="51" t="inlineStr"/>
      <c r="AI20" s="52" t="inlineStr"/>
      <c r="AJ20" s="51" t="inlineStr"/>
      <c r="AK20" s="51" t="inlineStr"/>
      <c r="AL20" s="51" t="inlineStr"/>
      <c r="AM20" s="51" t="inlineStr"/>
      <c r="AN20" s="52" t="inlineStr"/>
      <c r="AO20" s="51" t="inlineStr"/>
      <c r="AP20" s="51" t="inlineStr"/>
      <c r="AQ20" s="51" t="inlineStr"/>
      <c r="AR20" s="51" t="inlineStr"/>
      <c r="AS20" s="52" t="inlineStr"/>
    </row>
    <row r="21">
      <c r="A21" s="37" t="n">
        <v>16</v>
      </c>
      <c r="B21" s="31">
        <f>IF(INDEX(Klassenliste!$B$6:$B$40,16)=0,"",INDEX(Klassenliste!$B$6:$B$40,16))</f>
        <v/>
      </c>
      <c r="C21" s="31">
        <f>IF(INDEX(Klassenliste!$C$6:$C$40,16)=0,"",INDEX(Klassenliste!$C$6:$C$40,16))</f>
        <v/>
      </c>
      <c r="D21" s="19">
        <f>IF($B21="","",COUNT(F21:AS21))</f>
        <v/>
      </c>
      <c r="E21" s="38">
        <f>IF($B21="","",SUM(F21:AS21))</f>
        <v/>
      </c>
      <c r="F21" s="51" t="inlineStr"/>
      <c r="G21" s="51" t="inlineStr"/>
      <c r="H21" s="51" t="inlineStr"/>
      <c r="I21" s="51" t="inlineStr"/>
      <c r="J21" s="52" t="inlineStr"/>
      <c r="K21" s="51" t="inlineStr"/>
      <c r="L21" s="51" t="inlineStr"/>
      <c r="M21" s="51" t="inlineStr"/>
      <c r="N21" s="51" t="inlineStr"/>
      <c r="O21" s="52" t="inlineStr"/>
      <c r="P21" s="51" t="inlineStr"/>
      <c r="Q21" s="51" t="inlineStr"/>
      <c r="R21" s="51" t="inlineStr"/>
      <c r="S21" s="51" t="inlineStr"/>
      <c r="T21" s="52" t="inlineStr"/>
      <c r="U21" s="51" t="inlineStr"/>
      <c r="V21" s="51" t="inlineStr"/>
      <c r="W21" s="51" t="inlineStr"/>
      <c r="X21" s="51" t="inlineStr"/>
      <c r="Y21" s="52" t="inlineStr"/>
      <c r="Z21" s="51" t="inlineStr"/>
      <c r="AA21" s="51" t="inlineStr"/>
      <c r="AB21" s="51" t="inlineStr"/>
      <c r="AC21" s="51" t="inlineStr"/>
      <c r="AD21" s="52" t="inlineStr"/>
      <c r="AE21" s="51" t="inlineStr"/>
      <c r="AF21" s="51" t="inlineStr"/>
      <c r="AG21" s="51" t="inlineStr"/>
      <c r="AH21" s="51" t="inlineStr"/>
      <c r="AI21" s="52" t="inlineStr"/>
      <c r="AJ21" s="51" t="inlineStr"/>
      <c r="AK21" s="51" t="inlineStr"/>
      <c r="AL21" s="51" t="inlineStr"/>
      <c r="AM21" s="51" t="inlineStr"/>
      <c r="AN21" s="52" t="inlineStr"/>
      <c r="AO21" s="51" t="inlineStr"/>
      <c r="AP21" s="51" t="inlineStr"/>
      <c r="AQ21" s="51" t="inlineStr"/>
      <c r="AR21" s="51" t="inlineStr"/>
      <c r="AS21" s="52" t="inlineStr"/>
    </row>
    <row r="22">
      <c r="A22" s="37" t="n">
        <v>17</v>
      </c>
      <c r="B22" s="31">
        <f>IF(INDEX(Klassenliste!$B$6:$B$40,17)=0,"",INDEX(Klassenliste!$B$6:$B$40,17))</f>
        <v/>
      </c>
      <c r="C22" s="31">
        <f>IF(INDEX(Klassenliste!$C$6:$C$40,17)=0,"",INDEX(Klassenliste!$C$6:$C$40,17))</f>
        <v/>
      </c>
      <c r="D22" s="19">
        <f>IF($B22="","",COUNT(F22:AS22))</f>
        <v/>
      </c>
      <c r="E22" s="38">
        <f>IF($B22="","",SUM(F22:AS22))</f>
        <v/>
      </c>
      <c r="F22" s="51" t="inlineStr"/>
      <c r="G22" s="51" t="inlineStr"/>
      <c r="H22" s="51" t="inlineStr"/>
      <c r="I22" s="51" t="inlineStr"/>
      <c r="J22" s="52" t="inlineStr"/>
      <c r="K22" s="51" t="inlineStr"/>
      <c r="L22" s="51" t="inlineStr"/>
      <c r="M22" s="51" t="inlineStr"/>
      <c r="N22" s="51" t="inlineStr"/>
      <c r="O22" s="52" t="inlineStr"/>
      <c r="P22" s="51" t="inlineStr"/>
      <c r="Q22" s="51" t="inlineStr"/>
      <c r="R22" s="51" t="inlineStr"/>
      <c r="S22" s="51" t="inlineStr"/>
      <c r="T22" s="52" t="inlineStr"/>
      <c r="U22" s="51" t="inlineStr"/>
      <c r="V22" s="51" t="inlineStr"/>
      <c r="W22" s="51" t="inlineStr"/>
      <c r="X22" s="51" t="inlineStr"/>
      <c r="Y22" s="52" t="inlineStr"/>
      <c r="Z22" s="51" t="inlineStr"/>
      <c r="AA22" s="51" t="inlineStr"/>
      <c r="AB22" s="51" t="inlineStr"/>
      <c r="AC22" s="51" t="inlineStr"/>
      <c r="AD22" s="52" t="inlineStr"/>
      <c r="AE22" s="51" t="inlineStr"/>
      <c r="AF22" s="51" t="inlineStr"/>
      <c r="AG22" s="51" t="inlineStr"/>
      <c r="AH22" s="51" t="inlineStr"/>
      <c r="AI22" s="52" t="inlineStr"/>
      <c r="AJ22" s="51" t="inlineStr"/>
      <c r="AK22" s="51" t="inlineStr"/>
      <c r="AL22" s="51" t="inlineStr"/>
      <c r="AM22" s="51" t="inlineStr"/>
      <c r="AN22" s="52" t="inlineStr"/>
      <c r="AO22" s="51" t="inlineStr"/>
      <c r="AP22" s="51" t="inlineStr"/>
      <c r="AQ22" s="51" t="inlineStr"/>
      <c r="AR22" s="51" t="inlineStr"/>
      <c r="AS22" s="52" t="inlineStr"/>
    </row>
    <row r="23">
      <c r="A23" s="37" t="n">
        <v>18</v>
      </c>
      <c r="B23" s="31">
        <f>IF(INDEX(Klassenliste!$B$6:$B$40,18)=0,"",INDEX(Klassenliste!$B$6:$B$40,18))</f>
        <v/>
      </c>
      <c r="C23" s="31">
        <f>IF(INDEX(Klassenliste!$C$6:$C$40,18)=0,"",INDEX(Klassenliste!$C$6:$C$40,18))</f>
        <v/>
      </c>
      <c r="D23" s="19">
        <f>IF($B23="","",COUNT(F23:AS23))</f>
        <v/>
      </c>
      <c r="E23" s="38">
        <f>IF($B23="","",SUM(F23:AS23))</f>
        <v/>
      </c>
      <c r="F23" s="51" t="inlineStr"/>
      <c r="G23" s="51" t="inlineStr"/>
      <c r="H23" s="51" t="inlineStr"/>
      <c r="I23" s="51" t="inlineStr"/>
      <c r="J23" s="52" t="inlineStr"/>
      <c r="K23" s="51" t="inlineStr"/>
      <c r="L23" s="51" t="inlineStr"/>
      <c r="M23" s="51" t="inlineStr"/>
      <c r="N23" s="51" t="inlineStr"/>
      <c r="O23" s="52" t="inlineStr"/>
      <c r="P23" s="51" t="inlineStr"/>
      <c r="Q23" s="51" t="inlineStr"/>
      <c r="R23" s="51" t="inlineStr"/>
      <c r="S23" s="51" t="inlineStr"/>
      <c r="T23" s="52" t="inlineStr"/>
      <c r="U23" s="51" t="inlineStr"/>
      <c r="V23" s="51" t="inlineStr"/>
      <c r="W23" s="51" t="inlineStr"/>
      <c r="X23" s="51" t="inlineStr"/>
      <c r="Y23" s="52" t="inlineStr"/>
      <c r="Z23" s="51" t="inlineStr"/>
      <c r="AA23" s="51" t="inlineStr"/>
      <c r="AB23" s="51" t="inlineStr"/>
      <c r="AC23" s="51" t="inlineStr"/>
      <c r="AD23" s="52" t="inlineStr"/>
      <c r="AE23" s="51" t="inlineStr"/>
      <c r="AF23" s="51" t="inlineStr"/>
      <c r="AG23" s="51" t="inlineStr"/>
      <c r="AH23" s="51" t="inlineStr"/>
      <c r="AI23" s="52" t="inlineStr"/>
      <c r="AJ23" s="51" t="inlineStr"/>
      <c r="AK23" s="51" t="inlineStr"/>
      <c r="AL23" s="51" t="inlineStr"/>
      <c r="AM23" s="51" t="inlineStr"/>
      <c r="AN23" s="52" t="inlineStr"/>
      <c r="AO23" s="51" t="inlineStr"/>
      <c r="AP23" s="51" t="inlineStr"/>
      <c r="AQ23" s="51" t="inlineStr"/>
      <c r="AR23" s="51" t="inlineStr"/>
      <c r="AS23" s="52" t="inlineStr"/>
    </row>
    <row r="24">
      <c r="A24" s="37" t="n">
        <v>19</v>
      </c>
      <c r="B24" s="31">
        <f>IF(INDEX(Klassenliste!$B$6:$B$40,19)=0,"",INDEX(Klassenliste!$B$6:$B$40,19))</f>
        <v/>
      </c>
      <c r="C24" s="31">
        <f>IF(INDEX(Klassenliste!$C$6:$C$40,19)=0,"",INDEX(Klassenliste!$C$6:$C$40,19))</f>
        <v/>
      </c>
      <c r="D24" s="19">
        <f>IF($B24="","",COUNT(F24:AS24))</f>
        <v/>
      </c>
      <c r="E24" s="38">
        <f>IF($B24="","",SUM(F24:AS24))</f>
        <v/>
      </c>
      <c r="F24" s="51" t="inlineStr"/>
      <c r="G24" s="51" t="inlineStr"/>
      <c r="H24" s="51" t="inlineStr"/>
      <c r="I24" s="51" t="inlineStr"/>
      <c r="J24" s="52" t="inlineStr"/>
      <c r="K24" s="51" t="inlineStr"/>
      <c r="L24" s="51" t="inlineStr"/>
      <c r="M24" s="51" t="inlineStr"/>
      <c r="N24" s="51" t="inlineStr"/>
      <c r="O24" s="52" t="inlineStr"/>
      <c r="P24" s="51" t="inlineStr"/>
      <c r="Q24" s="51" t="inlineStr"/>
      <c r="R24" s="51" t="inlineStr"/>
      <c r="S24" s="51" t="inlineStr"/>
      <c r="T24" s="52" t="inlineStr"/>
      <c r="U24" s="51" t="inlineStr"/>
      <c r="V24" s="51" t="inlineStr"/>
      <c r="W24" s="51" t="inlineStr"/>
      <c r="X24" s="51" t="inlineStr"/>
      <c r="Y24" s="52" t="inlineStr"/>
      <c r="Z24" s="51" t="inlineStr"/>
      <c r="AA24" s="51" t="inlineStr"/>
      <c r="AB24" s="51" t="inlineStr"/>
      <c r="AC24" s="51" t="inlineStr"/>
      <c r="AD24" s="52" t="inlineStr"/>
      <c r="AE24" s="51" t="inlineStr"/>
      <c r="AF24" s="51" t="inlineStr"/>
      <c r="AG24" s="51" t="inlineStr"/>
      <c r="AH24" s="51" t="inlineStr"/>
      <c r="AI24" s="52" t="inlineStr"/>
      <c r="AJ24" s="51" t="inlineStr"/>
      <c r="AK24" s="51" t="inlineStr"/>
      <c r="AL24" s="51" t="inlineStr"/>
      <c r="AM24" s="51" t="inlineStr"/>
      <c r="AN24" s="52" t="inlineStr"/>
      <c r="AO24" s="51" t="inlineStr"/>
      <c r="AP24" s="51" t="inlineStr"/>
      <c r="AQ24" s="51" t="inlineStr"/>
      <c r="AR24" s="51" t="inlineStr"/>
      <c r="AS24" s="52" t="inlineStr"/>
    </row>
    <row r="25">
      <c r="A25" s="37" t="n">
        <v>20</v>
      </c>
      <c r="B25" s="31">
        <f>IF(INDEX(Klassenliste!$B$6:$B$40,20)=0,"",INDEX(Klassenliste!$B$6:$B$40,20))</f>
        <v/>
      </c>
      <c r="C25" s="31">
        <f>IF(INDEX(Klassenliste!$C$6:$C$40,20)=0,"",INDEX(Klassenliste!$C$6:$C$40,20))</f>
        <v/>
      </c>
      <c r="D25" s="19">
        <f>IF($B25="","",COUNT(F25:AS25))</f>
        <v/>
      </c>
      <c r="E25" s="38">
        <f>IF($B25="","",SUM(F25:AS25))</f>
        <v/>
      </c>
      <c r="F25" s="51" t="inlineStr"/>
      <c r="G25" s="51" t="inlineStr"/>
      <c r="H25" s="51" t="inlineStr"/>
      <c r="I25" s="51" t="inlineStr"/>
      <c r="J25" s="52" t="inlineStr"/>
      <c r="K25" s="51" t="inlineStr"/>
      <c r="L25" s="51" t="inlineStr"/>
      <c r="M25" s="51" t="inlineStr"/>
      <c r="N25" s="51" t="inlineStr"/>
      <c r="O25" s="52" t="inlineStr"/>
      <c r="P25" s="51" t="inlineStr"/>
      <c r="Q25" s="51" t="inlineStr"/>
      <c r="R25" s="51" t="inlineStr"/>
      <c r="S25" s="51" t="inlineStr"/>
      <c r="T25" s="52" t="inlineStr"/>
      <c r="U25" s="51" t="inlineStr"/>
      <c r="V25" s="51" t="inlineStr"/>
      <c r="W25" s="51" t="inlineStr"/>
      <c r="X25" s="51" t="inlineStr"/>
      <c r="Y25" s="52" t="inlineStr"/>
      <c r="Z25" s="51" t="inlineStr"/>
      <c r="AA25" s="51" t="inlineStr"/>
      <c r="AB25" s="51" t="inlineStr"/>
      <c r="AC25" s="51" t="inlineStr"/>
      <c r="AD25" s="52" t="inlineStr"/>
      <c r="AE25" s="51" t="inlineStr"/>
      <c r="AF25" s="51" t="inlineStr"/>
      <c r="AG25" s="51" t="inlineStr"/>
      <c r="AH25" s="51" t="inlineStr"/>
      <c r="AI25" s="52" t="inlineStr"/>
      <c r="AJ25" s="51" t="inlineStr"/>
      <c r="AK25" s="51" t="inlineStr"/>
      <c r="AL25" s="51" t="inlineStr"/>
      <c r="AM25" s="51" t="inlineStr"/>
      <c r="AN25" s="52" t="inlineStr"/>
      <c r="AO25" s="51" t="inlineStr"/>
      <c r="AP25" s="51" t="inlineStr"/>
      <c r="AQ25" s="51" t="inlineStr"/>
      <c r="AR25" s="51" t="inlineStr"/>
      <c r="AS25" s="52" t="inlineStr"/>
    </row>
    <row r="26">
      <c r="A26" s="37" t="n">
        <v>21</v>
      </c>
      <c r="B26" s="31">
        <f>IF(INDEX(Klassenliste!$B$6:$B$40,21)=0,"",INDEX(Klassenliste!$B$6:$B$40,21))</f>
        <v/>
      </c>
      <c r="C26" s="31">
        <f>IF(INDEX(Klassenliste!$C$6:$C$40,21)=0,"",INDEX(Klassenliste!$C$6:$C$40,21))</f>
        <v/>
      </c>
      <c r="D26" s="19">
        <f>IF($B26="","",COUNT(F26:AS26))</f>
        <v/>
      </c>
      <c r="E26" s="38">
        <f>IF($B26="","",SUM(F26:AS26))</f>
        <v/>
      </c>
      <c r="F26" s="51" t="inlineStr"/>
      <c r="G26" s="51" t="inlineStr"/>
      <c r="H26" s="51" t="inlineStr"/>
      <c r="I26" s="51" t="inlineStr"/>
      <c r="J26" s="52" t="inlineStr"/>
      <c r="K26" s="51" t="inlineStr"/>
      <c r="L26" s="51" t="inlineStr"/>
      <c r="M26" s="51" t="inlineStr"/>
      <c r="N26" s="51" t="inlineStr"/>
      <c r="O26" s="52" t="inlineStr"/>
      <c r="P26" s="51" t="inlineStr"/>
      <c r="Q26" s="51" t="inlineStr"/>
      <c r="R26" s="51" t="inlineStr"/>
      <c r="S26" s="51" t="inlineStr"/>
      <c r="T26" s="52" t="inlineStr"/>
      <c r="U26" s="51" t="inlineStr"/>
      <c r="V26" s="51" t="inlineStr"/>
      <c r="W26" s="51" t="inlineStr"/>
      <c r="X26" s="51" t="inlineStr"/>
      <c r="Y26" s="52" t="inlineStr"/>
      <c r="Z26" s="51" t="inlineStr"/>
      <c r="AA26" s="51" t="inlineStr"/>
      <c r="AB26" s="51" t="inlineStr"/>
      <c r="AC26" s="51" t="inlineStr"/>
      <c r="AD26" s="52" t="inlineStr"/>
      <c r="AE26" s="51" t="inlineStr"/>
      <c r="AF26" s="51" t="inlineStr"/>
      <c r="AG26" s="51" t="inlineStr"/>
      <c r="AH26" s="51" t="inlineStr"/>
      <c r="AI26" s="52" t="inlineStr"/>
      <c r="AJ26" s="51" t="inlineStr"/>
      <c r="AK26" s="51" t="inlineStr"/>
      <c r="AL26" s="51" t="inlineStr"/>
      <c r="AM26" s="51" t="inlineStr"/>
      <c r="AN26" s="52" t="inlineStr"/>
      <c r="AO26" s="51" t="inlineStr"/>
      <c r="AP26" s="51" t="inlineStr"/>
      <c r="AQ26" s="51" t="inlineStr"/>
      <c r="AR26" s="51" t="inlineStr"/>
      <c r="AS26" s="52" t="inlineStr"/>
    </row>
    <row r="27">
      <c r="A27" s="37" t="n">
        <v>22</v>
      </c>
      <c r="B27" s="31">
        <f>IF(INDEX(Klassenliste!$B$6:$B$40,22)=0,"",INDEX(Klassenliste!$B$6:$B$40,22))</f>
        <v/>
      </c>
      <c r="C27" s="31">
        <f>IF(INDEX(Klassenliste!$C$6:$C$40,22)=0,"",INDEX(Klassenliste!$C$6:$C$40,22))</f>
        <v/>
      </c>
      <c r="D27" s="19">
        <f>IF($B27="","",COUNT(F27:AS27))</f>
        <v/>
      </c>
      <c r="E27" s="38">
        <f>IF($B27="","",SUM(F27:AS27))</f>
        <v/>
      </c>
      <c r="F27" s="51" t="inlineStr"/>
      <c r="G27" s="51" t="inlineStr"/>
      <c r="H27" s="51" t="inlineStr"/>
      <c r="I27" s="51" t="inlineStr"/>
      <c r="J27" s="52" t="inlineStr"/>
      <c r="K27" s="51" t="inlineStr"/>
      <c r="L27" s="51" t="inlineStr"/>
      <c r="M27" s="51" t="inlineStr"/>
      <c r="N27" s="51" t="inlineStr"/>
      <c r="O27" s="52" t="inlineStr"/>
      <c r="P27" s="51" t="inlineStr"/>
      <c r="Q27" s="51" t="inlineStr"/>
      <c r="R27" s="51" t="inlineStr"/>
      <c r="S27" s="51" t="inlineStr"/>
      <c r="T27" s="52" t="inlineStr"/>
      <c r="U27" s="51" t="inlineStr"/>
      <c r="V27" s="51" t="inlineStr"/>
      <c r="W27" s="51" t="inlineStr"/>
      <c r="X27" s="51" t="inlineStr"/>
      <c r="Y27" s="52" t="inlineStr"/>
      <c r="Z27" s="51" t="inlineStr"/>
      <c r="AA27" s="51" t="inlineStr"/>
      <c r="AB27" s="51" t="inlineStr"/>
      <c r="AC27" s="51" t="inlineStr"/>
      <c r="AD27" s="52" t="inlineStr"/>
      <c r="AE27" s="51" t="inlineStr"/>
      <c r="AF27" s="51" t="inlineStr"/>
      <c r="AG27" s="51" t="inlineStr"/>
      <c r="AH27" s="51" t="inlineStr"/>
      <c r="AI27" s="52" t="inlineStr"/>
      <c r="AJ27" s="51" t="inlineStr"/>
      <c r="AK27" s="51" t="inlineStr"/>
      <c r="AL27" s="51" t="inlineStr"/>
      <c r="AM27" s="51" t="inlineStr"/>
      <c r="AN27" s="52" t="inlineStr"/>
      <c r="AO27" s="51" t="inlineStr"/>
      <c r="AP27" s="51" t="inlineStr"/>
      <c r="AQ27" s="51" t="inlineStr"/>
      <c r="AR27" s="51" t="inlineStr"/>
      <c r="AS27" s="52" t="inlineStr"/>
    </row>
    <row r="28">
      <c r="A28" s="37" t="n">
        <v>23</v>
      </c>
      <c r="B28" s="31">
        <f>IF(INDEX(Klassenliste!$B$6:$B$40,23)=0,"",INDEX(Klassenliste!$B$6:$B$40,23))</f>
        <v/>
      </c>
      <c r="C28" s="31">
        <f>IF(INDEX(Klassenliste!$C$6:$C$40,23)=0,"",INDEX(Klassenliste!$C$6:$C$40,23))</f>
        <v/>
      </c>
      <c r="D28" s="19">
        <f>IF($B28="","",COUNT(F28:AS28))</f>
        <v/>
      </c>
      <c r="E28" s="38">
        <f>IF($B28="","",SUM(F28:AS28))</f>
        <v/>
      </c>
      <c r="F28" s="51" t="inlineStr"/>
      <c r="G28" s="51" t="inlineStr"/>
      <c r="H28" s="51" t="inlineStr"/>
      <c r="I28" s="51" t="inlineStr"/>
      <c r="J28" s="52" t="inlineStr"/>
      <c r="K28" s="51" t="inlineStr"/>
      <c r="L28" s="51" t="inlineStr"/>
      <c r="M28" s="51" t="inlineStr"/>
      <c r="N28" s="51" t="inlineStr"/>
      <c r="O28" s="52" t="inlineStr"/>
      <c r="P28" s="51" t="inlineStr"/>
      <c r="Q28" s="51" t="inlineStr"/>
      <c r="R28" s="51" t="inlineStr"/>
      <c r="S28" s="51" t="inlineStr"/>
      <c r="T28" s="52" t="inlineStr"/>
      <c r="U28" s="51" t="inlineStr"/>
      <c r="V28" s="51" t="inlineStr"/>
      <c r="W28" s="51" t="inlineStr"/>
      <c r="X28" s="51" t="inlineStr"/>
      <c r="Y28" s="52" t="inlineStr"/>
      <c r="Z28" s="51" t="inlineStr"/>
      <c r="AA28" s="51" t="inlineStr"/>
      <c r="AB28" s="51" t="inlineStr"/>
      <c r="AC28" s="51" t="inlineStr"/>
      <c r="AD28" s="52" t="inlineStr"/>
      <c r="AE28" s="51" t="inlineStr"/>
      <c r="AF28" s="51" t="inlineStr"/>
      <c r="AG28" s="51" t="inlineStr"/>
      <c r="AH28" s="51" t="inlineStr"/>
      <c r="AI28" s="52" t="inlineStr"/>
      <c r="AJ28" s="51" t="inlineStr"/>
      <c r="AK28" s="51" t="inlineStr"/>
      <c r="AL28" s="51" t="inlineStr"/>
      <c r="AM28" s="51" t="inlineStr"/>
      <c r="AN28" s="52" t="inlineStr"/>
      <c r="AO28" s="51" t="inlineStr"/>
      <c r="AP28" s="51" t="inlineStr"/>
      <c r="AQ28" s="51" t="inlineStr"/>
      <c r="AR28" s="51" t="inlineStr"/>
      <c r="AS28" s="52" t="inlineStr"/>
    </row>
    <row r="29">
      <c r="A29" s="37" t="n">
        <v>24</v>
      </c>
      <c r="B29" s="31">
        <f>IF(INDEX(Klassenliste!$B$6:$B$40,24)=0,"",INDEX(Klassenliste!$B$6:$B$40,24))</f>
        <v/>
      </c>
      <c r="C29" s="31">
        <f>IF(INDEX(Klassenliste!$C$6:$C$40,24)=0,"",INDEX(Klassenliste!$C$6:$C$40,24))</f>
        <v/>
      </c>
      <c r="D29" s="19">
        <f>IF($B29="","",COUNT(F29:AS29))</f>
        <v/>
      </c>
      <c r="E29" s="38">
        <f>IF($B29="","",SUM(F29:AS29))</f>
        <v/>
      </c>
      <c r="F29" s="51" t="inlineStr"/>
      <c r="G29" s="51" t="inlineStr"/>
      <c r="H29" s="51" t="inlineStr"/>
      <c r="I29" s="51" t="inlineStr"/>
      <c r="J29" s="52" t="inlineStr"/>
      <c r="K29" s="51" t="inlineStr"/>
      <c r="L29" s="51" t="inlineStr"/>
      <c r="M29" s="51" t="inlineStr"/>
      <c r="N29" s="51" t="inlineStr"/>
      <c r="O29" s="52" t="inlineStr"/>
      <c r="P29" s="51" t="inlineStr"/>
      <c r="Q29" s="51" t="inlineStr"/>
      <c r="R29" s="51" t="inlineStr"/>
      <c r="S29" s="51" t="inlineStr"/>
      <c r="T29" s="52" t="inlineStr"/>
      <c r="U29" s="51" t="inlineStr"/>
      <c r="V29" s="51" t="inlineStr"/>
      <c r="W29" s="51" t="inlineStr"/>
      <c r="X29" s="51" t="inlineStr"/>
      <c r="Y29" s="52" t="inlineStr"/>
      <c r="Z29" s="51" t="inlineStr"/>
      <c r="AA29" s="51" t="inlineStr"/>
      <c r="AB29" s="51" t="inlineStr"/>
      <c r="AC29" s="51" t="inlineStr"/>
      <c r="AD29" s="52" t="inlineStr"/>
      <c r="AE29" s="51" t="inlineStr"/>
      <c r="AF29" s="51" t="inlineStr"/>
      <c r="AG29" s="51" t="inlineStr"/>
      <c r="AH29" s="51" t="inlineStr"/>
      <c r="AI29" s="52" t="inlineStr"/>
      <c r="AJ29" s="51" t="inlineStr"/>
      <c r="AK29" s="51" t="inlineStr"/>
      <c r="AL29" s="51" t="inlineStr"/>
      <c r="AM29" s="51" t="inlineStr"/>
      <c r="AN29" s="52" t="inlineStr"/>
      <c r="AO29" s="51" t="inlineStr"/>
      <c r="AP29" s="51" t="inlineStr"/>
      <c r="AQ29" s="51" t="inlineStr"/>
      <c r="AR29" s="51" t="inlineStr"/>
      <c r="AS29" s="52" t="inlineStr"/>
    </row>
    <row r="30">
      <c r="A30" s="37" t="n">
        <v>25</v>
      </c>
      <c r="B30" s="31">
        <f>IF(INDEX(Klassenliste!$B$6:$B$40,25)=0,"",INDEX(Klassenliste!$B$6:$B$40,25))</f>
        <v/>
      </c>
      <c r="C30" s="31">
        <f>IF(INDEX(Klassenliste!$C$6:$C$40,25)=0,"",INDEX(Klassenliste!$C$6:$C$40,25))</f>
        <v/>
      </c>
      <c r="D30" s="19">
        <f>IF($B30="","",COUNT(F30:AS30))</f>
        <v/>
      </c>
      <c r="E30" s="38">
        <f>IF($B30="","",SUM(F30:AS30))</f>
        <v/>
      </c>
      <c r="F30" s="51" t="inlineStr"/>
      <c r="G30" s="51" t="inlineStr"/>
      <c r="H30" s="51" t="inlineStr"/>
      <c r="I30" s="51" t="inlineStr"/>
      <c r="J30" s="52" t="inlineStr"/>
      <c r="K30" s="51" t="inlineStr"/>
      <c r="L30" s="51" t="inlineStr"/>
      <c r="M30" s="51" t="inlineStr"/>
      <c r="N30" s="51" t="inlineStr"/>
      <c r="O30" s="52" t="inlineStr"/>
      <c r="P30" s="51" t="inlineStr"/>
      <c r="Q30" s="51" t="inlineStr"/>
      <c r="R30" s="51" t="inlineStr"/>
      <c r="S30" s="51" t="inlineStr"/>
      <c r="T30" s="52" t="inlineStr"/>
      <c r="U30" s="51" t="inlineStr"/>
      <c r="V30" s="51" t="inlineStr"/>
      <c r="W30" s="51" t="inlineStr"/>
      <c r="X30" s="51" t="inlineStr"/>
      <c r="Y30" s="52" t="inlineStr"/>
      <c r="Z30" s="51" t="inlineStr"/>
      <c r="AA30" s="51" t="inlineStr"/>
      <c r="AB30" s="51" t="inlineStr"/>
      <c r="AC30" s="51" t="inlineStr"/>
      <c r="AD30" s="52" t="inlineStr"/>
      <c r="AE30" s="51" t="inlineStr"/>
      <c r="AF30" s="51" t="inlineStr"/>
      <c r="AG30" s="51" t="inlineStr"/>
      <c r="AH30" s="51" t="inlineStr"/>
      <c r="AI30" s="52" t="inlineStr"/>
      <c r="AJ30" s="51" t="inlineStr"/>
      <c r="AK30" s="51" t="inlineStr"/>
      <c r="AL30" s="51" t="inlineStr"/>
      <c r="AM30" s="51" t="inlineStr"/>
      <c r="AN30" s="52" t="inlineStr"/>
      <c r="AO30" s="51" t="inlineStr"/>
      <c r="AP30" s="51" t="inlineStr"/>
      <c r="AQ30" s="51" t="inlineStr"/>
      <c r="AR30" s="51" t="inlineStr"/>
      <c r="AS30" s="52" t="inlineStr"/>
    </row>
    <row r="31">
      <c r="A31" s="37" t="n">
        <v>26</v>
      </c>
      <c r="B31" s="31">
        <f>IF(INDEX(Klassenliste!$B$6:$B$40,26)=0,"",INDEX(Klassenliste!$B$6:$B$40,26))</f>
        <v/>
      </c>
      <c r="C31" s="31">
        <f>IF(INDEX(Klassenliste!$C$6:$C$40,26)=0,"",INDEX(Klassenliste!$C$6:$C$40,26))</f>
        <v/>
      </c>
      <c r="D31" s="19">
        <f>IF($B31="","",COUNT(F31:AS31))</f>
        <v/>
      </c>
      <c r="E31" s="38">
        <f>IF($B31="","",SUM(F31:AS31))</f>
        <v/>
      </c>
      <c r="F31" s="51" t="inlineStr"/>
      <c r="G31" s="51" t="inlineStr"/>
      <c r="H31" s="51" t="inlineStr"/>
      <c r="I31" s="51" t="inlineStr"/>
      <c r="J31" s="52" t="inlineStr"/>
      <c r="K31" s="51" t="inlineStr"/>
      <c r="L31" s="51" t="inlineStr"/>
      <c r="M31" s="51" t="inlineStr"/>
      <c r="N31" s="51" t="inlineStr"/>
      <c r="O31" s="52" t="inlineStr"/>
      <c r="P31" s="51" t="inlineStr"/>
      <c r="Q31" s="51" t="inlineStr"/>
      <c r="R31" s="51" t="inlineStr"/>
      <c r="S31" s="51" t="inlineStr"/>
      <c r="T31" s="52" t="inlineStr"/>
      <c r="U31" s="51" t="inlineStr"/>
      <c r="V31" s="51" t="inlineStr"/>
      <c r="W31" s="51" t="inlineStr"/>
      <c r="X31" s="51" t="inlineStr"/>
      <c r="Y31" s="52" t="inlineStr"/>
      <c r="Z31" s="51" t="inlineStr"/>
      <c r="AA31" s="51" t="inlineStr"/>
      <c r="AB31" s="51" t="inlineStr"/>
      <c r="AC31" s="51" t="inlineStr"/>
      <c r="AD31" s="52" t="inlineStr"/>
      <c r="AE31" s="51" t="inlineStr"/>
      <c r="AF31" s="51" t="inlineStr"/>
      <c r="AG31" s="51" t="inlineStr"/>
      <c r="AH31" s="51" t="inlineStr"/>
      <c r="AI31" s="52" t="inlineStr"/>
      <c r="AJ31" s="51" t="inlineStr"/>
      <c r="AK31" s="51" t="inlineStr"/>
      <c r="AL31" s="51" t="inlineStr"/>
      <c r="AM31" s="51" t="inlineStr"/>
      <c r="AN31" s="52" t="inlineStr"/>
      <c r="AO31" s="51" t="inlineStr"/>
      <c r="AP31" s="51" t="inlineStr"/>
      <c r="AQ31" s="51" t="inlineStr"/>
      <c r="AR31" s="51" t="inlineStr"/>
      <c r="AS31" s="52" t="inlineStr"/>
    </row>
    <row r="32">
      <c r="A32" s="37" t="n">
        <v>27</v>
      </c>
      <c r="B32" s="31">
        <f>IF(INDEX(Klassenliste!$B$6:$B$40,27)=0,"",INDEX(Klassenliste!$B$6:$B$40,27))</f>
        <v/>
      </c>
      <c r="C32" s="31">
        <f>IF(INDEX(Klassenliste!$C$6:$C$40,27)=0,"",INDEX(Klassenliste!$C$6:$C$40,27))</f>
        <v/>
      </c>
      <c r="D32" s="19">
        <f>IF($B32="","",COUNT(F32:AS32))</f>
        <v/>
      </c>
      <c r="E32" s="38">
        <f>IF($B32="","",SUM(F32:AS32))</f>
        <v/>
      </c>
      <c r="F32" s="51" t="inlineStr"/>
      <c r="G32" s="51" t="inlineStr"/>
      <c r="H32" s="51" t="inlineStr"/>
      <c r="I32" s="51" t="inlineStr"/>
      <c r="J32" s="52" t="inlineStr"/>
      <c r="K32" s="51" t="inlineStr"/>
      <c r="L32" s="51" t="inlineStr"/>
      <c r="M32" s="51" t="inlineStr"/>
      <c r="N32" s="51" t="inlineStr"/>
      <c r="O32" s="52" t="inlineStr"/>
      <c r="P32" s="51" t="inlineStr"/>
      <c r="Q32" s="51" t="inlineStr"/>
      <c r="R32" s="51" t="inlineStr"/>
      <c r="S32" s="51" t="inlineStr"/>
      <c r="T32" s="52" t="inlineStr"/>
      <c r="U32" s="51" t="inlineStr"/>
      <c r="V32" s="51" t="inlineStr"/>
      <c r="W32" s="51" t="inlineStr"/>
      <c r="X32" s="51" t="inlineStr"/>
      <c r="Y32" s="52" t="inlineStr"/>
      <c r="Z32" s="51" t="inlineStr"/>
      <c r="AA32" s="51" t="inlineStr"/>
      <c r="AB32" s="51" t="inlineStr"/>
      <c r="AC32" s="51" t="inlineStr"/>
      <c r="AD32" s="52" t="inlineStr"/>
      <c r="AE32" s="51" t="inlineStr"/>
      <c r="AF32" s="51" t="inlineStr"/>
      <c r="AG32" s="51" t="inlineStr"/>
      <c r="AH32" s="51" t="inlineStr"/>
      <c r="AI32" s="52" t="inlineStr"/>
      <c r="AJ32" s="51" t="inlineStr"/>
      <c r="AK32" s="51" t="inlineStr"/>
      <c r="AL32" s="51" t="inlineStr"/>
      <c r="AM32" s="51" t="inlineStr"/>
      <c r="AN32" s="52" t="inlineStr"/>
      <c r="AO32" s="51" t="inlineStr"/>
      <c r="AP32" s="51" t="inlineStr"/>
      <c r="AQ32" s="51" t="inlineStr"/>
      <c r="AR32" s="51" t="inlineStr"/>
      <c r="AS32" s="52" t="inlineStr"/>
    </row>
    <row r="33">
      <c r="A33" s="37" t="n">
        <v>28</v>
      </c>
      <c r="B33" s="31">
        <f>IF(INDEX(Klassenliste!$B$6:$B$40,28)=0,"",INDEX(Klassenliste!$B$6:$B$40,28))</f>
        <v/>
      </c>
      <c r="C33" s="31">
        <f>IF(INDEX(Klassenliste!$C$6:$C$40,28)=0,"",INDEX(Klassenliste!$C$6:$C$40,28))</f>
        <v/>
      </c>
      <c r="D33" s="19">
        <f>IF($B33="","",COUNT(F33:AS33))</f>
        <v/>
      </c>
      <c r="E33" s="38">
        <f>IF($B33="","",SUM(F33:AS33))</f>
        <v/>
      </c>
      <c r="F33" s="51" t="inlineStr"/>
      <c r="G33" s="51" t="inlineStr"/>
      <c r="H33" s="51" t="inlineStr"/>
      <c r="I33" s="51" t="inlineStr"/>
      <c r="J33" s="52" t="inlineStr"/>
      <c r="K33" s="51" t="inlineStr"/>
      <c r="L33" s="51" t="inlineStr"/>
      <c r="M33" s="51" t="inlineStr"/>
      <c r="N33" s="51" t="inlineStr"/>
      <c r="O33" s="52" t="inlineStr"/>
      <c r="P33" s="51" t="inlineStr"/>
      <c r="Q33" s="51" t="inlineStr"/>
      <c r="R33" s="51" t="inlineStr"/>
      <c r="S33" s="51" t="inlineStr"/>
      <c r="T33" s="52" t="inlineStr"/>
      <c r="U33" s="51" t="inlineStr"/>
      <c r="V33" s="51" t="inlineStr"/>
      <c r="W33" s="51" t="inlineStr"/>
      <c r="X33" s="51" t="inlineStr"/>
      <c r="Y33" s="52" t="inlineStr"/>
      <c r="Z33" s="51" t="inlineStr"/>
      <c r="AA33" s="51" t="inlineStr"/>
      <c r="AB33" s="51" t="inlineStr"/>
      <c r="AC33" s="51" t="inlineStr"/>
      <c r="AD33" s="52" t="inlineStr"/>
      <c r="AE33" s="51" t="inlineStr"/>
      <c r="AF33" s="51" t="inlineStr"/>
      <c r="AG33" s="51" t="inlineStr"/>
      <c r="AH33" s="51" t="inlineStr"/>
      <c r="AI33" s="52" t="inlineStr"/>
      <c r="AJ33" s="51" t="inlineStr"/>
      <c r="AK33" s="51" t="inlineStr"/>
      <c r="AL33" s="51" t="inlineStr"/>
      <c r="AM33" s="51" t="inlineStr"/>
      <c r="AN33" s="52" t="inlineStr"/>
      <c r="AO33" s="51" t="inlineStr"/>
      <c r="AP33" s="51" t="inlineStr"/>
      <c r="AQ33" s="51" t="inlineStr"/>
      <c r="AR33" s="51" t="inlineStr"/>
      <c r="AS33" s="52" t="inlineStr"/>
    </row>
    <row r="34">
      <c r="A34" s="37" t="n">
        <v>29</v>
      </c>
      <c r="B34" s="31">
        <f>IF(INDEX(Klassenliste!$B$6:$B$40,29)=0,"",INDEX(Klassenliste!$B$6:$B$40,29))</f>
        <v/>
      </c>
      <c r="C34" s="31">
        <f>IF(INDEX(Klassenliste!$C$6:$C$40,29)=0,"",INDEX(Klassenliste!$C$6:$C$40,29))</f>
        <v/>
      </c>
      <c r="D34" s="19">
        <f>IF($B34="","",COUNT(F34:AS34))</f>
        <v/>
      </c>
      <c r="E34" s="38">
        <f>IF($B34="","",SUM(F34:AS34))</f>
        <v/>
      </c>
      <c r="F34" s="51" t="inlineStr"/>
      <c r="G34" s="51" t="inlineStr"/>
      <c r="H34" s="51" t="inlineStr"/>
      <c r="I34" s="51" t="inlineStr"/>
      <c r="J34" s="52" t="inlineStr"/>
      <c r="K34" s="51" t="inlineStr"/>
      <c r="L34" s="51" t="inlineStr"/>
      <c r="M34" s="51" t="inlineStr"/>
      <c r="N34" s="51" t="inlineStr"/>
      <c r="O34" s="52" t="inlineStr"/>
      <c r="P34" s="51" t="inlineStr"/>
      <c r="Q34" s="51" t="inlineStr"/>
      <c r="R34" s="51" t="inlineStr"/>
      <c r="S34" s="51" t="inlineStr"/>
      <c r="T34" s="52" t="inlineStr"/>
      <c r="U34" s="51" t="inlineStr"/>
      <c r="V34" s="51" t="inlineStr"/>
      <c r="W34" s="51" t="inlineStr"/>
      <c r="X34" s="51" t="inlineStr"/>
      <c r="Y34" s="52" t="inlineStr"/>
      <c r="Z34" s="51" t="inlineStr"/>
      <c r="AA34" s="51" t="inlineStr"/>
      <c r="AB34" s="51" t="inlineStr"/>
      <c r="AC34" s="51" t="inlineStr"/>
      <c r="AD34" s="52" t="inlineStr"/>
      <c r="AE34" s="51" t="inlineStr"/>
      <c r="AF34" s="51" t="inlineStr"/>
      <c r="AG34" s="51" t="inlineStr"/>
      <c r="AH34" s="51" t="inlineStr"/>
      <c r="AI34" s="52" t="inlineStr"/>
      <c r="AJ34" s="51" t="inlineStr"/>
      <c r="AK34" s="51" t="inlineStr"/>
      <c r="AL34" s="51" t="inlineStr"/>
      <c r="AM34" s="51" t="inlineStr"/>
      <c r="AN34" s="52" t="inlineStr"/>
      <c r="AO34" s="51" t="inlineStr"/>
      <c r="AP34" s="51" t="inlineStr"/>
      <c r="AQ34" s="51" t="inlineStr"/>
      <c r="AR34" s="51" t="inlineStr"/>
      <c r="AS34" s="52" t="inlineStr"/>
    </row>
    <row r="35">
      <c r="A35" s="37" t="n">
        <v>30</v>
      </c>
      <c r="B35" s="31">
        <f>IF(INDEX(Klassenliste!$B$6:$B$40,30)=0,"",INDEX(Klassenliste!$B$6:$B$40,30))</f>
        <v/>
      </c>
      <c r="C35" s="31">
        <f>IF(INDEX(Klassenliste!$C$6:$C$40,30)=0,"",INDEX(Klassenliste!$C$6:$C$40,30))</f>
        <v/>
      </c>
      <c r="D35" s="19">
        <f>IF($B35="","",COUNT(F35:AS35))</f>
        <v/>
      </c>
      <c r="E35" s="38">
        <f>IF($B35="","",SUM(F35:AS35))</f>
        <v/>
      </c>
      <c r="F35" s="51" t="inlineStr"/>
      <c r="G35" s="51" t="inlineStr"/>
      <c r="H35" s="51" t="inlineStr"/>
      <c r="I35" s="51" t="inlineStr"/>
      <c r="J35" s="52" t="inlineStr"/>
      <c r="K35" s="51" t="inlineStr"/>
      <c r="L35" s="51" t="inlineStr"/>
      <c r="M35" s="51" t="inlineStr"/>
      <c r="N35" s="51" t="inlineStr"/>
      <c r="O35" s="52" t="inlineStr"/>
      <c r="P35" s="51" t="inlineStr"/>
      <c r="Q35" s="51" t="inlineStr"/>
      <c r="R35" s="51" t="inlineStr"/>
      <c r="S35" s="51" t="inlineStr"/>
      <c r="T35" s="52" t="inlineStr"/>
      <c r="U35" s="51" t="inlineStr"/>
      <c r="V35" s="51" t="inlineStr"/>
      <c r="W35" s="51" t="inlineStr"/>
      <c r="X35" s="51" t="inlineStr"/>
      <c r="Y35" s="52" t="inlineStr"/>
      <c r="Z35" s="51" t="inlineStr"/>
      <c r="AA35" s="51" t="inlineStr"/>
      <c r="AB35" s="51" t="inlineStr"/>
      <c r="AC35" s="51" t="inlineStr"/>
      <c r="AD35" s="52" t="inlineStr"/>
      <c r="AE35" s="51" t="inlineStr"/>
      <c r="AF35" s="51" t="inlineStr"/>
      <c r="AG35" s="51" t="inlineStr"/>
      <c r="AH35" s="51" t="inlineStr"/>
      <c r="AI35" s="52" t="inlineStr"/>
      <c r="AJ35" s="51" t="inlineStr"/>
      <c r="AK35" s="51" t="inlineStr"/>
      <c r="AL35" s="51" t="inlineStr"/>
      <c r="AM35" s="51" t="inlineStr"/>
      <c r="AN35" s="52" t="inlineStr"/>
      <c r="AO35" s="51" t="inlineStr"/>
      <c r="AP35" s="51" t="inlineStr"/>
      <c r="AQ35" s="51" t="inlineStr"/>
      <c r="AR35" s="51" t="inlineStr"/>
      <c r="AS35" s="52" t="inlineStr"/>
    </row>
    <row r="36">
      <c r="A36" s="37" t="n">
        <v>31</v>
      </c>
      <c r="B36" s="31">
        <f>IF(INDEX(Klassenliste!$B$6:$B$40,31)=0,"",INDEX(Klassenliste!$B$6:$B$40,31))</f>
        <v/>
      </c>
      <c r="C36" s="31">
        <f>IF(INDEX(Klassenliste!$C$6:$C$40,31)=0,"",INDEX(Klassenliste!$C$6:$C$40,31))</f>
        <v/>
      </c>
      <c r="D36" s="19">
        <f>IF($B36="","",COUNT(F36:AS36))</f>
        <v/>
      </c>
      <c r="E36" s="38">
        <f>IF($B36="","",SUM(F36:AS36))</f>
        <v/>
      </c>
      <c r="F36" s="51" t="inlineStr"/>
      <c r="G36" s="51" t="inlineStr"/>
      <c r="H36" s="51" t="inlineStr"/>
      <c r="I36" s="51" t="inlineStr"/>
      <c r="J36" s="52" t="inlineStr"/>
      <c r="K36" s="51" t="inlineStr"/>
      <c r="L36" s="51" t="inlineStr"/>
      <c r="M36" s="51" t="inlineStr"/>
      <c r="N36" s="51" t="inlineStr"/>
      <c r="O36" s="52" t="inlineStr"/>
      <c r="P36" s="51" t="inlineStr"/>
      <c r="Q36" s="51" t="inlineStr"/>
      <c r="R36" s="51" t="inlineStr"/>
      <c r="S36" s="51" t="inlineStr"/>
      <c r="T36" s="52" t="inlineStr"/>
      <c r="U36" s="51" t="inlineStr"/>
      <c r="V36" s="51" t="inlineStr"/>
      <c r="W36" s="51" t="inlineStr"/>
      <c r="X36" s="51" t="inlineStr"/>
      <c r="Y36" s="52" t="inlineStr"/>
      <c r="Z36" s="51" t="inlineStr"/>
      <c r="AA36" s="51" t="inlineStr"/>
      <c r="AB36" s="51" t="inlineStr"/>
      <c r="AC36" s="51" t="inlineStr"/>
      <c r="AD36" s="52" t="inlineStr"/>
      <c r="AE36" s="51" t="inlineStr"/>
      <c r="AF36" s="51" t="inlineStr"/>
      <c r="AG36" s="51" t="inlineStr"/>
      <c r="AH36" s="51" t="inlineStr"/>
      <c r="AI36" s="52" t="inlineStr"/>
      <c r="AJ36" s="51" t="inlineStr"/>
      <c r="AK36" s="51" t="inlineStr"/>
      <c r="AL36" s="51" t="inlineStr"/>
      <c r="AM36" s="51" t="inlineStr"/>
      <c r="AN36" s="52" t="inlineStr"/>
      <c r="AO36" s="51" t="inlineStr"/>
      <c r="AP36" s="51" t="inlineStr"/>
      <c r="AQ36" s="51" t="inlineStr"/>
      <c r="AR36" s="51" t="inlineStr"/>
      <c r="AS36" s="52" t="inlineStr"/>
    </row>
    <row r="37">
      <c r="A37" s="37" t="n">
        <v>32</v>
      </c>
      <c r="B37" s="31">
        <f>IF(INDEX(Klassenliste!$B$6:$B$40,32)=0,"",INDEX(Klassenliste!$B$6:$B$40,32))</f>
        <v/>
      </c>
      <c r="C37" s="31">
        <f>IF(INDEX(Klassenliste!$C$6:$C$40,32)=0,"",INDEX(Klassenliste!$C$6:$C$40,32))</f>
        <v/>
      </c>
      <c r="D37" s="19">
        <f>IF($B37="","",COUNT(F37:AS37))</f>
        <v/>
      </c>
      <c r="E37" s="38">
        <f>IF($B37="","",SUM(F37:AS37))</f>
        <v/>
      </c>
      <c r="F37" s="51" t="inlineStr"/>
      <c r="G37" s="51" t="inlineStr"/>
      <c r="H37" s="51" t="inlineStr"/>
      <c r="I37" s="51" t="inlineStr"/>
      <c r="J37" s="52" t="inlineStr"/>
      <c r="K37" s="51" t="inlineStr"/>
      <c r="L37" s="51" t="inlineStr"/>
      <c r="M37" s="51" t="inlineStr"/>
      <c r="N37" s="51" t="inlineStr"/>
      <c r="O37" s="52" t="inlineStr"/>
      <c r="P37" s="51" t="inlineStr"/>
      <c r="Q37" s="51" t="inlineStr"/>
      <c r="R37" s="51" t="inlineStr"/>
      <c r="S37" s="51" t="inlineStr"/>
      <c r="T37" s="52" t="inlineStr"/>
      <c r="U37" s="51" t="inlineStr"/>
      <c r="V37" s="51" t="inlineStr"/>
      <c r="W37" s="51" t="inlineStr"/>
      <c r="X37" s="51" t="inlineStr"/>
      <c r="Y37" s="52" t="inlineStr"/>
      <c r="Z37" s="51" t="inlineStr"/>
      <c r="AA37" s="51" t="inlineStr"/>
      <c r="AB37" s="51" t="inlineStr"/>
      <c r="AC37" s="51" t="inlineStr"/>
      <c r="AD37" s="52" t="inlineStr"/>
      <c r="AE37" s="51" t="inlineStr"/>
      <c r="AF37" s="51" t="inlineStr"/>
      <c r="AG37" s="51" t="inlineStr"/>
      <c r="AH37" s="51" t="inlineStr"/>
      <c r="AI37" s="52" t="inlineStr"/>
      <c r="AJ37" s="51" t="inlineStr"/>
      <c r="AK37" s="51" t="inlineStr"/>
      <c r="AL37" s="51" t="inlineStr"/>
      <c r="AM37" s="51" t="inlineStr"/>
      <c r="AN37" s="52" t="inlineStr"/>
      <c r="AO37" s="51" t="inlineStr"/>
      <c r="AP37" s="51" t="inlineStr"/>
      <c r="AQ37" s="51" t="inlineStr"/>
      <c r="AR37" s="51" t="inlineStr"/>
      <c r="AS37" s="52" t="inlineStr"/>
    </row>
    <row r="38">
      <c r="A38" s="37" t="n">
        <v>33</v>
      </c>
      <c r="B38" s="31">
        <f>IF(INDEX(Klassenliste!$B$6:$B$40,33)=0,"",INDEX(Klassenliste!$B$6:$B$40,33))</f>
        <v/>
      </c>
      <c r="C38" s="31">
        <f>IF(INDEX(Klassenliste!$C$6:$C$40,33)=0,"",INDEX(Klassenliste!$C$6:$C$40,33))</f>
        <v/>
      </c>
      <c r="D38" s="19">
        <f>IF($B38="","",COUNT(F38:AS38))</f>
        <v/>
      </c>
      <c r="E38" s="38">
        <f>IF($B38="","",SUM(F38:AS38))</f>
        <v/>
      </c>
      <c r="F38" s="51" t="inlineStr"/>
      <c r="G38" s="51" t="inlineStr"/>
      <c r="H38" s="51" t="inlineStr"/>
      <c r="I38" s="51" t="inlineStr"/>
      <c r="J38" s="52" t="inlineStr"/>
      <c r="K38" s="51" t="inlineStr"/>
      <c r="L38" s="51" t="inlineStr"/>
      <c r="M38" s="51" t="inlineStr"/>
      <c r="N38" s="51" t="inlineStr"/>
      <c r="O38" s="52" t="inlineStr"/>
      <c r="P38" s="51" t="inlineStr"/>
      <c r="Q38" s="51" t="inlineStr"/>
      <c r="R38" s="51" t="inlineStr"/>
      <c r="S38" s="51" t="inlineStr"/>
      <c r="T38" s="52" t="inlineStr"/>
      <c r="U38" s="51" t="inlineStr"/>
      <c r="V38" s="51" t="inlineStr"/>
      <c r="W38" s="51" t="inlineStr"/>
      <c r="X38" s="51" t="inlineStr"/>
      <c r="Y38" s="52" t="inlineStr"/>
      <c r="Z38" s="51" t="inlineStr"/>
      <c r="AA38" s="51" t="inlineStr"/>
      <c r="AB38" s="51" t="inlineStr"/>
      <c r="AC38" s="51" t="inlineStr"/>
      <c r="AD38" s="52" t="inlineStr"/>
      <c r="AE38" s="51" t="inlineStr"/>
      <c r="AF38" s="51" t="inlineStr"/>
      <c r="AG38" s="51" t="inlineStr"/>
      <c r="AH38" s="51" t="inlineStr"/>
      <c r="AI38" s="52" t="inlineStr"/>
      <c r="AJ38" s="51" t="inlineStr"/>
      <c r="AK38" s="51" t="inlineStr"/>
      <c r="AL38" s="51" t="inlineStr"/>
      <c r="AM38" s="51" t="inlineStr"/>
      <c r="AN38" s="52" t="inlineStr"/>
      <c r="AO38" s="51" t="inlineStr"/>
      <c r="AP38" s="51" t="inlineStr"/>
      <c r="AQ38" s="51" t="inlineStr"/>
      <c r="AR38" s="51" t="inlineStr"/>
      <c r="AS38" s="52" t="inlineStr"/>
    </row>
    <row r="39">
      <c r="A39" s="37" t="n">
        <v>34</v>
      </c>
      <c r="B39" s="31">
        <f>IF(INDEX(Klassenliste!$B$6:$B$40,34)=0,"",INDEX(Klassenliste!$B$6:$B$40,34))</f>
        <v/>
      </c>
      <c r="C39" s="31">
        <f>IF(INDEX(Klassenliste!$C$6:$C$40,34)=0,"",INDEX(Klassenliste!$C$6:$C$40,34))</f>
        <v/>
      </c>
      <c r="D39" s="19">
        <f>IF($B39="","",COUNT(F39:AS39))</f>
        <v/>
      </c>
      <c r="E39" s="38">
        <f>IF($B39="","",SUM(F39:AS39))</f>
        <v/>
      </c>
      <c r="F39" s="51" t="inlineStr"/>
      <c r="G39" s="51" t="inlineStr"/>
      <c r="H39" s="51" t="inlineStr"/>
      <c r="I39" s="51" t="inlineStr"/>
      <c r="J39" s="52" t="inlineStr"/>
      <c r="K39" s="51" t="inlineStr"/>
      <c r="L39" s="51" t="inlineStr"/>
      <c r="M39" s="51" t="inlineStr"/>
      <c r="N39" s="51" t="inlineStr"/>
      <c r="O39" s="52" t="inlineStr"/>
      <c r="P39" s="51" t="inlineStr"/>
      <c r="Q39" s="51" t="inlineStr"/>
      <c r="R39" s="51" t="inlineStr"/>
      <c r="S39" s="51" t="inlineStr"/>
      <c r="T39" s="52" t="inlineStr"/>
      <c r="U39" s="51" t="inlineStr"/>
      <c r="V39" s="51" t="inlineStr"/>
      <c r="W39" s="51" t="inlineStr"/>
      <c r="X39" s="51" t="inlineStr"/>
      <c r="Y39" s="52" t="inlineStr"/>
      <c r="Z39" s="51" t="inlineStr"/>
      <c r="AA39" s="51" t="inlineStr"/>
      <c r="AB39" s="51" t="inlineStr"/>
      <c r="AC39" s="51" t="inlineStr"/>
      <c r="AD39" s="52" t="inlineStr"/>
      <c r="AE39" s="51" t="inlineStr"/>
      <c r="AF39" s="51" t="inlineStr"/>
      <c r="AG39" s="51" t="inlineStr"/>
      <c r="AH39" s="51" t="inlineStr"/>
      <c r="AI39" s="52" t="inlineStr"/>
      <c r="AJ39" s="51" t="inlineStr"/>
      <c r="AK39" s="51" t="inlineStr"/>
      <c r="AL39" s="51" t="inlineStr"/>
      <c r="AM39" s="51" t="inlineStr"/>
      <c r="AN39" s="52" t="inlineStr"/>
      <c r="AO39" s="51" t="inlineStr"/>
      <c r="AP39" s="51" t="inlineStr"/>
      <c r="AQ39" s="51" t="inlineStr"/>
      <c r="AR39" s="51" t="inlineStr"/>
      <c r="AS39" s="52" t="inlineStr"/>
    </row>
    <row r="40">
      <c r="A40" s="37" t="n">
        <v>35</v>
      </c>
      <c r="B40" s="31">
        <f>IF(INDEX(Klassenliste!$B$6:$B$40,35)=0,"",INDEX(Klassenliste!$B$6:$B$40,35))</f>
        <v/>
      </c>
      <c r="C40" s="31">
        <f>IF(INDEX(Klassenliste!$C$6:$C$40,35)=0,"",INDEX(Klassenliste!$C$6:$C$40,35))</f>
        <v/>
      </c>
      <c r="D40" s="19">
        <f>IF($B40="","",COUNT(F40:AS40))</f>
        <v/>
      </c>
      <c r="E40" s="38">
        <f>IF($B40="","",SUM(F40:AS40))</f>
        <v/>
      </c>
      <c r="F40" s="51" t="inlineStr"/>
      <c r="G40" s="51" t="inlineStr"/>
      <c r="H40" s="51" t="inlineStr"/>
      <c r="I40" s="51" t="inlineStr"/>
      <c r="J40" s="52" t="inlineStr"/>
      <c r="K40" s="51" t="inlineStr"/>
      <c r="L40" s="51" t="inlineStr"/>
      <c r="M40" s="51" t="inlineStr"/>
      <c r="N40" s="51" t="inlineStr"/>
      <c r="O40" s="52" t="inlineStr"/>
      <c r="P40" s="51" t="inlineStr"/>
      <c r="Q40" s="51" t="inlineStr"/>
      <c r="R40" s="51" t="inlineStr"/>
      <c r="S40" s="51" t="inlineStr"/>
      <c r="T40" s="52" t="inlineStr"/>
      <c r="U40" s="51" t="inlineStr"/>
      <c r="V40" s="51" t="inlineStr"/>
      <c r="W40" s="51" t="inlineStr"/>
      <c r="X40" s="51" t="inlineStr"/>
      <c r="Y40" s="52" t="inlineStr"/>
      <c r="Z40" s="51" t="inlineStr"/>
      <c r="AA40" s="51" t="inlineStr"/>
      <c r="AB40" s="51" t="inlineStr"/>
      <c r="AC40" s="51" t="inlineStr"/>
      <c r="AD40" s="52" t="inlineStr"/>
      <c r="AE40" s="51" t="inlineStr"/>
      <c r="AF40" s="51" t="inlineStr"/>
      <c r="AG40" s="51" t="inlineStr"/>
      <c r="AH40" s="51" t="inlineStr"/>
      <c r="AI40" s="52" t="inlineStr"/>
      <c r="AJ40" s="51" t="inlineStr"/>
      <c r="AK40" s="51" t="inlineStr"/>
      <c r="AL40" s="51" t="inlineStr"/>
      <c r="AM40" s="51" t="inlineStr"/>
      <c r="AN40" s="52" t="inlineStr"/>
      <c r="AO40" s="51" t="inlineStr"/>
      <c r="AP40" s="51" t="inlineStr"/>
      <c r="AQ40" s="51" t="inlineStr"/>
      <c r="AR40" s="51" t="inlineStr"/>
      <c r="AS40" s="52" t="inlineStr"/>
    </row>
  </sheetData>
  <sheetProtection selectLockedCells="0" selectUnlockedCells="0" sheet="1" objects="0" insertRows="1" insertHyperlinks="1" autoFilter="1" scenarios="0" formatColumns="0" deleteColumns="1" insertColumns="0" pivotTables="1" deleteRows="1" formatCells="1" formatRows="0" sort="1"/>
  <mergeCells count="1">
    <mergeCell ref="A1:AR1"/>
  </mergeCells>
  <conditionalFormatting sqref="A6:AS40">
    <cfRule type="expression" priority="1" dxfId="1" stopIfTrue="1">
      <formula>$B6=""</formula>
    </cfRule>
  </conditionalFormatting>
  <conditionalFormatting sqref="F4:AS4">
    <cfRule type="expression" priority="2" dxfId="4">
      <formula>F$4=TODAY()</formula>
    </cfRule>
  </conditionalFormatting>
  <conditionalFormatting sqref="D6:D40">
    <cfRule type="expression" priority="3" dxfId="2">
      <formula>AND(ISNUMBER(D6),D6&gt;=3)</formula>
    </cfRule>
  </conditionalFormatting>
  <printOptions horizontalCentered="1"/>
  <pageMargins left="0.5" right="0.5" top="0.55" bottom="0.5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tabColor rgb="00D8DDE0"/>
    <outlinePr summaryBelow="1" summaryRight="1"/>
    <pageSetUpPr fitToPage="1"/>
  </sheetPr>
  <dimension ref="A1:T49"/>
  <sheetViews>
    <sheetView showGridLines="0" zoomScale="10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7" customWidth="1" min="16" max="16"/>
    <col width="8" customWidth="1" min="17" max="17"/>
    <col width="8" customWidth="1" min="18" max="18"/>
    <col width="12" customWidth="1" min="19" max="19"/>
    <col width="48" customWidth="1" min="20" max="20"/>
  </cols>
  <sheetData>
    <row r="1" ht="26" customHeight="1">
      <c r="A1" s="1" t="inlineStr">
        <is>
          <t>Klausur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8">
        <f>HYPERLINK("#Start!A1","⌂")</f>
        <v/>
      </c>
    </row>
    <row r="2">
      <c r="B2" s="53" t="inlineStr">
        <is>
          <t>Thema:</t>
        </is>
      </c>
      <c r="C2" s="11" t="inlineStr"/>
      <c r="D2" s="54" t="n"/>
      <c r="E2" s="54" t="n"/>
      <c r="F2" s="54" t="n"/>
      <c r="G2" s="54" t="n"/>
      <c r="I2" s="53" t="inlineStr">
        <is>
          <t>Datum:</t>
        </is>
      </c>
      <c r="J2" s="24" t="inlineStr"/>
      <c r="K2" s="55" t="n"/>
      <c r="L2" s="12">
        <f>Klassenliste!$E$2&amp;"  ·  "&amp;Klassenliste!$J$2&amp;"  ·  "&amp;Klassenliste!$H$2&amp;""</f>
        <v/>
      </c>
    </row>
    <row r="3">
      <c r="C3" s="18" t="inlineStr">
        <is>
          <t>Aufgabe</t>
        </is>
      </c>
      <c r="D3" s="56" t="inlineStr">
        <is>
          <t>A1</t>
        </is>
      </c>
      <c r="E3" s="56" t="inlineStr">
        <is>
          <t>A2</t>
        </is>
      </c>
      <c r="F3" s="56" t="inlineStr">
        <is>
          <t>A3</t>
        </is>
      </c>
      <c r="G3" s="56" t="inlineStr">
        <is>
          <t>A4</t>
        </is>
      </c>
      <c r="H3" s="56" t="inlineStr">
        <is>
          <t>A5</t>
        </is>
      </c>
      <c r="I3" s="56" t="inlineStr">
        <is>
          <t>A6</t>
        </is>
      </c>
      <c r="J3" s="56" t="inlineStr">
        <is>
          <t>A7</t>
        </is>
      </c>
      <c r="K3" s="56" t="inlineStr">
        <is>
          <t>A8</t>
        </is>
      </c>
      <c r="L3" s="56" t="inlineStr">
        <is>
          <t>A9</t>
        </is>
      </c>
      <c r="M3" s="56" t="inlineStr">
        <is>
          <t>A10</t>
        </is>
      </c>
      <c r="N3" s="56" t="inlineStr">
        <is>
          <t>A11</t>
        </is>
      </c>
      <c r="O3" s="56" t="inlineStr">
        <is>
          <t>A12</t>
        </is>
      </c>
      <c r="P3" s="45" t="inlineStr">
        <is>
          <t>Ges.</t>
        </is>
      </c>
    </row>
    <row r="4">
      <c r="C4" s="18" t="inlineStr">
        <is>
          <t>max. Punkte</t>
        </is>
      </c>
      <c r="D4" s="57" t="inlineStr"/>
      <c r="E4" s="57" t="inlineStr"/>
      <c r="F4" s="57" t="inlineStr"/>
      <c r="G4" s="57" t="inlineStr"/>
      <c r="H4" s="57" t="inlineStr"/>
      <c r="I4" s="57" t="inlineStr"/>
      <c r="J4" s="57" t="inlineStr"/>
      <c r="K4" s="57" t="inlineStr"/>
      <c r="L4" s="57" t="inlineStr"/>
      <c r="M4" s="57" t="inlineStr"/>
      <c r="N4" s="57" t="inlineStr"/>
      <c r="O4" s="57" t="inlineStr"/>
      <c r="P4" s="58">
        <f>IF(COUNT(D4:O4)=0,"",SUM(D4:O4))</f>
        <v/>
      </c>
    </row>
    <row r="5">
      <c r="C5" s="18" t="inlineStr">
        <is>
          <t>Schnitt</t>
        </is>
      </c>
      <c r="D5" s="59">
        <f>IF(D$4="","",IFERROR(ROUND(AVERAGE(D8:D42),2),""))</f>
        <v/>
      </c>
      <c r="E5" s="59">
        <f>IF(E$4="","",IFERROR(ROUND(AVERAGE(E8:E42),2),""))</f>
        <v/>
      </c>
      <c r="F5" s="59">
        <f>IF(F$4="","",IFERROR(ROUND(AVERAGE(F8:F42),2),""))</f>
        <v/>
      </c>
      <c r="G5" s="59">
        <f>IF(G$4="","",IFERROR(ROUND(AVERAGE(G8:G42),2),""))</f>
        <v/>
      </c>
      <c r="H5" s="59">
        <f>IF(H$4="","",IFERROR(ROUND(AVERAGE(H8:H42),2),""))</f>
        <v/>
      </c>
      <c r="I5" s="59">
        <f>IF(I$4="","",IFERROR(ROUND(AVERAGE(I8:I42),2),""))</f>
        <v/>
      </c>
      <c r="J5" s="59">
        <f>IF(J$4="","",IFERROR(ROUND(AVERAGE(J8:J42),2),""))</f>
        <v/>
      </c>
      <c r="K5" s="59">
        <f>IF(K$4="","",IFERROR(ROUND(AVERAGE(K8:K42),2),""))</f>
        <v/>
      </c>
      <c r="L5" s="59">
        <f>IF(L$4="","",IFERROR(ROUND(AVERAGE(L8:L42),2),""))</f>
        <v/>
      </c>
      <c r="M5" s="59">
        <f>IF(M$4="","",IFERROR(ROUND(AVERAGE(M8:M42),2),""))</f>
        <v/>
      </c>
      <c r="N5" s="59">
        <f>IF(N$4="","",IFERROR(ROUND(AVERAGE(N8:N42),2),""))</f>
        <v/>
      </c>
      <c r="O5" s="59">
        <f>IF(O$4="","",IFERROR(ROUND(AVERAGE(O8:O42),2),""))</f>
        <v/>
      </c>
      <c r="P5" s="60">
        <f>IFERROR(ROUND(AVERAGE(P8:P42),2),"")</f>
        <v/>
      </c>
    </row>
    <row r="6">
      <c r="A6" s="61" t="n"/>
      <c r="B6" s="61" t="n"/>
      <c r="C6" s="62" t="inlineStr">
        <is>
          <t>Schnitt %</t>
        </is>
      </c>
      <c r="D6" s="63">
        <f>IF(D$4="","",IFERROR(D5/D$4,""))</f>
        <v/>
      </c>
      <c r="E6" s="63">
        <f>IF(E$4="","",IFERROR(E5/E$4,""))</f>
        <v/>
      </c>
      <c r="F6" s="63">
        <f>IF(F$4="","",IFERROR(F5/F$4,""))</f>
        <v/>
      </c>
      <c r="G6" s="63">
        <f>IF(G$4="","",IFERROR(G5/G$4,""))</f>
        <v/>
      </c>
      <c r="H6" s="63">
        <f>IF(H$4="","",IFERROR(H5/H$4,""))</f>
        <v/>
      </c>
      <c r="I6" s="63">
        <f>IF(I$4="","",IFERROR(I5/I$4,""))</f>
        <v/>
      </c>
      <c r="J6" s="63">
        <f>IF(J$4="","",IFERROR(J5/J$4,""))</f>
        <v/>
      </c>
      <c r="K6" s="63">
        <f>IF(K$4="","",IFERROR(K5/K$4,""))</f>
        <v/>
      </c>
      <c r="L6" s="63">
        <f>IF(L$4="","",IFERROR(L5/L$4,""))</f>
        <v/>
      </c>
      <c r="M6" s="63">
        <f>IF(M$4="","",IFERROR(M5/M$4,""))</f>
        <v/>
      </c>
      <c r="N6" s="63">
        <f>IF(N$4="","",IFERROR(N5/N$4,""))</f>
        <v/>
      </c>
      <c r="O6" s="63">
        <f>IF(O$4="","",IFERROR(O5/O$4,""))</f>
        <v/>
      </c>
      <c r="P6" s="64">
        <f>IFERROR(P5/P4,"")</f>
        <v/>
      </c>
      <c r="Q6" s="61" t="n"/>
      <c r="R6" s="61" t="n"/>
      <c r="S6" s="61" t="n"/>
    </row>
    <row r="7" ht="18" customHeight="1">
      <c r="A7" s="17" t="inlineStr">
        <is>
          <t>Nr</t>
        </is>
      </c>
      <c r="B7" s="18" t="inlineStr">
        <is>
          <t>Name</t>
        </is>
      </c>
      <c r="C7" s="18" t="inlineStr">
        <is>
          <t>Vorname</t>
        </is>
      </c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45" t="inlineStr">
        <is>
          <t>Ges.</t>
        </is>
      </c>
      <c r="Q7" s="17" t="inlineStr">
        <is>
          <t>%</t>
        </is>
      </c>
      <c r="R7" s="17" t="inlineStr">
        <is>
          <t>Punkte</t>
        </is>
      </c>
      <c r="S7" s="17" t="inlineStr">
        <is>
          <t>Note</t>
        </is>
      </c>
      <c r="T7" s="18" t="inlineStr">
        <is>
          <t>Lob / Hinweis</t>
        </is>
      </c>
    </row>
    <row r="8">
      <c r="A8" s="37" t="n">
        <v>1</v>
      </c>
      <c r="B8" s="31">
        <f>IF(INDEX(Klassenliste!$B$6:$B$40,1)=0,"",INDEX(Klassenliste!$B$6:$B$40,1))</f>
        <v/>
      </c>
      <c r="C8" s="31">
        <f>IF(INDEX(Klassenliste!$C$6:$C$40,1)=0,"",INDEX(Klassenliste!$C$6:$C$40,1))</f>
        <v/>
      </c>
      <c r="D8" s="49" t="inlineStr"/>
      <c r="E8" s="49" t="inlineStr"/>
      <c r="F8" s="49" t="inlineStr"/>
      <c r="G8" s="49" t="inlineStr"/>
      <c r="H8" s="49" t="inlineStr"/>
      <c r="I8" s="49" t="inlineStr"/>
      <c r="J8" s="49" t="inlineStr"/>
      <c r="K8" s="49" t="inlineStr"/>
      <c r="L8" s="49" t="inlineStr"/>
      <c r="M8" s="49" t="inlineStr"/>
      <c r="N8" s="49" t="inlineStr"/>
      <c r="O8" s="49" t="inlineStr"/>
      <c r="P8" s="47">
        <f>IF(COUNT(D8:O8)=0,"",SUM(D8:O8))</f>
        <v/>
      </c>
      <c r="Q8" s="65">
        <f>IF(P8="","",P8/$P$4)</f>
        <v/>
      </c>
      <c r="R8" s="50">
        <f>IF(Q8="","",LOOKUP(ROUND(Q8,6),Notentabelle!$C$4:$C$19,Notentabelle!$A$4:$A$19))</f>
        <v/>
      </c>
      <c r="S8" s="22">
        <f>IF(R8="","",INDEX(Notentabelle!$B$4:$B$19,R8+1))</f>
        <v/>
      </c>
      <c r="T8" s="66" t="inlineStr"/>
    </row>
    <row r="9">
      <c r="A9" s="37" t="n">
        <v>2</v>
      </c>
      <c r="B9" s="31">
        <f>IF(INDEX(Klassenliste!$B$6:$B$40,2)=0,"",INDEX(Klassenliste!$B$6:$B$40,2))</f>
        <v/>
      </c>
      <c r="C9" s="31">
        <f>IF(INDEX(Klassenliste!$C$6:$C$40,2)=0,"",INDEX(Klassenliste!$C$6:$C$40,2))</f>
        <v/>
      </c>
      <c r="D9" s="49" t="inlineStr"/>
      <c r="E9" s="49" t="inlineStr"/>
      <c r="F9" s="49" t="inlineStr"/>
      <c r="G9" s="49" t="inlineStr"/>
      <c r="H9" s="49" t="inlineStr"/>
      <c r="I9" s="49" t="inlineStr"/>
      <c r="J9" s="49" t="inlineStr"/>
      <c r="K9" s="49" t="inlineStr"/>
      <c r="L9" s="49" t="inlineStr"/>
      <c r="M9" s="49" t="inlineStr"/>
      <c r="N9" s="49" t="inlineStr"/>
      <c r="O9" s="49" t="inlineStr"/>
      <c r="P9" s="47">
        <f>IF(COUNT(D9:O9)=0,"",SUM(D9:O9))</f>
        <v/>
      </c>
      <c r="Q9" s="65">
        <f>IF(P9="","",P9/$P$4)</f>
        <v/>
      </c>
      <c r="R9" s="50">
        <f>IF(Q9="","",LOOKUP(ROUND(Q9,6),Notentabelle!$C$4:$C$19,Notentabelle!$A$4:$A$19))</f>
        <v/>
      </c>
      <c r="S9" s="22">
        <f>IF(R9="","",INDEX(Notentabelle!$B$4:$B$19,R9+1))</f>
        <v/>
      </c>
      <c r="T9" s="66" t="inlineStr"/>
    </row>
    <row r="10">
      <c r="A10" s="37" t="n">
        <v>3</v>
      </c>
      <c r="B10" s="31">
        <f>IF(INDEX(Klassenliste!$B$6:$B$40,3)=0,"",INDEX(Klassenliste!$B$6:$B$40,3))</f>
        <v/>
      </c>
      <c r="C10" s="31">
        <f>IF(INDEX(Klassenliste!$C$6:$C$40,3)=0,"",INDEX(Klassenliste!$C$6:$C$40,3))</f>
        <v/>
      </c>
      <c r="D10" s="49" t="inlineStr"/>
      <c r="E10" s="49" t="inlineStr"/>
      <c r="F10" s="49" t="inlineStr"/>
      <c r="G10" s="49" t="inlineStr"/>
      <c r="H10" s="49" t="inlineStr"/>
      <c r="I10" s="49" t="inlineStr"/>
      <c r="J10" s="49" t="inlineStr"/>
      <c r="K10" s="49" t="inlineStr"/>
      <c r="L10" s="49" t="inlineStr"/>
      <c r="M10" s="49" t="inlineStr"/>
      <c r="N10" s="49" t="inlineStr"/>
      <c r="O10" s="49" t="inlineStr"/>
      <c r="P10" s="47">
        <f>IF(COUNT(D10:O10)=0,"",SUM(D10:O10))</f>
        <v/>
      </c>
      <c r="Q10" s="65">
        <f>IF(P10="","",P10/$P$4)</f>
        <v/>
      </c>
      <c r="R10" s="50">
        <f>IF(Q10="","",LOOKUP(ROUND(Q10,6),Notentabelle!$C$4:$C$19,Notentabelle!$A$4:$A$19))</f>
        <v/>
      </c>
      <c r="S10" s="22">
        <f>IF(R10="","",INDEX(Notentabelle!$B$4:$B$19,R10+1))</f>
        <v/>
      </c>
      <c r="T10" s="66" t="inlineStr"/>
    </row>
    <row r="11">
      <c r="A11" s="37" t="n">
        <v>4</v>
      </c>
      <c r="B11" s="31">
        <f>IF(INDEX(Klassenliste!$B$6:$B$40,4)=0,"",INDEX(Klassenliste!$B$6:$B$40,4))</f>
        <v/>
      </c>
      <c r="C11" s="31">
        <f>IF(INDEX(Klassenliste!$C$6:$C$40,4)=0,"",INDEX(Klassenliste!$C$6:$C$40,4))</f>
        <v/>
      </c>
      <c r="D11" s="49" t="inlineStr"/>
      <c r="E11" s="49" t="inlineStr"/>
      <c r="F11" s="49" t="inlineStr"/>
      <c r="G11" s="49" t="inlineStr"/>
      <c r="H11" s="49" t="inlineStr"/>
      <c r="I11" s="49" t="inlineStr"/>
      <c r="J11" s="49" t="inlineStr"/>
      <c r="K11" s="49" t="inlineStr"/>
      <c r="L11" s="49" t="inlineStr"/>
      <c r="M11" s="49" t="inlineStr"/>
      <c r="N11" s="49" t="inlineStr"/>
      <c r="O11" s="49" t="inlineStr"/>
      <c r="P11" s="47">
        <f>IF(COUNT(D11:O11)=0,"",SUM(D11:O11))</f>
        <v/>
      </c>
      <c r="Q11" s="65">
        <f>IF(P11="","",P11/$P$4)</f>
        <v/>
      </c>
      <c r="R11" s="50">
        <f>IF(Q11="","",LOOKUP(ROUND(Q11,6),Notentabelle!$C$4:$C$19,Notentabelle!$A$4:$A$19))</f>
        <v/>
      </c>
      <c r="S11" s="22">
        <f>IF(R11="","",INDEX(Notentabelle!$B$4:$B$19,R11+1))</f>
        <v/>
      </c>
      <c r="T11" s="66" t="inlineStr"/>
    </row>
    <row r="12">
      <c r="A12" s="37" t="n">
        <v>5</v>
      </c>
      <c r="B12" s="31">
        <f>IF(INDEX(Klassenliste!$B$6:$B$40,5)=0,"",INDEX(Klassenliste!$B$6:$B$40,5))</f>
        <v/>
      </c>
      <c r="C12" s="31">
        <f>IF(INDEX(Klassenliste!$C$6:$C$40,5)=0,"",INDEX(Klassenliste!$C$6:$C$40,5))</f>
        <v/>
      </c>
      <c r="D12" s="49" t="inlineStr"/>
      <c r="E12" s="49" t="inlineStr"/>
      <c r="F12" s="49" t="inlineStr"/>
      <c r="G12" s="49" t="inlineStr"/>
      <c r="H12" s="49" t="inlineStr"/>
      <c r="I12" s="49" t="inlineStr"/>
      <c r="J12" s="49" t="inlineStr"/>
      <c r="K12" s="49" t="inlineStr"/>
      <c r="L12" s="49" t="inlineStr"/>
      <c r="M12" s="49" t="inlineStr"/>
      <c r="N12" s="49" t="inlineStr"/>
      <c r="O12" s="49" t="inlineStr"/>
      <c r="P12" s="47">
        <f>IF(COUNT(D12:O12)=0,"",SUM(D12:O12))</f>
        <v/>
      </c>
      <c r="Q12" s="65">
        <f>IF(P12="","",P12/$P$4)</f>
        <v/>
      </c>
      <c r="R12" s="50">
        <f>IF(Q12="","",LOOKUP(ROUND(Q12,6),Notentabelle!$C$4:$C$19,Notentabelle!$A$4:$A$19))</f>
        <v/>
      </c>
      <c r="S12" s="22">
        <f>IF(R12="","",INDEX(Notentabelle!$B$4:$B$19,R12+1))</f>
        <v/>
      </c>
      <c r="T12" s="66" t="inlineStr"/>
    </row>
    <row r="13">
      <c r="A13" s="37" t="n">
        <v>6</v>
      </c>
      <c r="B13" s="31">
        <f>IF(INDEX(Klassenliste!$B$6:$B$40,6)=0,"",INDEX(Klassenliste!$B$6:$B$40,6))</f>
        <v/>
      </c>
      <c r="C13" s="31">
        <f>IF(INDEX(Klassenliste!$C$6:$C$40,6)=0,"",INDEX(Klassenliste!$C$6:$C$40,6))</f>
        <v/>
      </c>
      <c r="D13" s="49" t="inlineStr"/>
      <c r="E13" s="49" t="inlineStr"/>
      <c r="F13" s="49" t="inlineStr"/>
      <c r="G13" s="49" t="inlineStr"/>
      <c r="H13" s="49" t="inlineStr"/>
      <c r="I13" s="49" t="inlineStr"/>
      <c r="J13" s="49" t="inlineStr"/>
      <c r="K13" s="49" t="inlineStr"/>
      <c r="L13" s="49" t="inlineStr"/>
      <c r="M13" s="49" t="inlineStr"/>
      <c r="N13" s="49" t="inlineStr"/>
      <c r="O13" s="49" t="inlineStr"/>
      <c r="P13" s="47">
        <f>IF(COUNT(D13:O13)=0,"",SUM(D13:O13))</f>
        <v/>
      </c>
      <c r="Q13" s="65">
        <f>IF(P13="","",P13/$P$4)</f>
        <v/>
      </c>
      <c r="R13" s="50">
        <f>IF(Q13="","",LOOKUP(ROUND(Q13,6),Notentabelle!$C$4:$C$19,Notentabelle!$A$4:$A$19))</f>
        <v/>
      </c>
      <c r="S13" s="22">
        <f>IF(R13="","",INDEX(Notentabelle!$B$4:$B$19,R13+1))</f>
        <v/>
      </c>
      <c r="T13" s="66" t="inlineStr"/>
    </row>
    <row r="14">
      <c r="A14" s="37" t="n">
        <v>7</v>
      </c>
      <c r="B14" s="31">
        <f>IF(INDEX(Klassenliste!$B$6:$B$40,7)=0,"",INDEX(Klassenliste!$B$6:$B$40,7))</f>
        <v/>
      </c>
      <c r="C14" s="31">
        <f>IF(INDEX(Klassenliste!$C$6:$C$40,7)=0,"",INDEX(Klassenliste!$C$6:$C$40,7))</f>
        <v/>
      </c>
      <c r="D14" s="49" t="inlineStr"/>
      <c r="E14" s="49" t="inlineStr"/>
      <c r="F14" s="49" t="inlineStr"/>
      <c r="G14" s="49" t="inlineStr"/>
      <c r="H14" s="49" t="inlineStr"/>
      <c r="I14" s="49" t="inlineStr"/>
      <c r="J14" s="49" t="inlineStr"/>
      <c r="K14" s="49" t="inlineStr"/>
      <c r="L14" s="49" t="inlineStr"/>
      <c r="M14" s="49" t="inlineStr"/>
      <c r="N14" s="49" t="inlineStr"/>
      <c r="O14" s="49" t="inlineStr"/>
      <c r="P14" s="47">
        <f>IF(COUNT(D14:O14)=0,"",SUM(D14:O14))</f>
        <v/>
      </c>
      <c r="Q14" s="65">
        <f>IF(P14="","",P14/$P$4)</f>
        <v/>
      </c>
      <c r="R14" s="50">
        <f>IF(Q14="","",LOOKUP(ROUND(Q14,6),Notentabelle!$C$4:$C$19,Notentabelle!$A$4:$A$19))</f>
        <v/>
      </c>
      <c r="S14" s="22">
        <f>IF(R14="","",INDEX(Notentabelle!$B$4:$B$19,R14+1))</f>
        <v/>
      </c>
      <c r="T14" s="66" t="inlineStr"/>
    </row>
    <row r="15">
      <c r="A15" s="37" t="n">
        <v>8</v>
      </c>
      <c r="B15" s="31">
        <f>IF(INDEX(Klassenliste!$B$6:$B$40,8)=0,"",INDEX(Klassenliste!$B$6:$B$40,8))</f>
        <v/>
      </c>
      <c r="C15" s="31">
        <f>IF(INDEX(Klassenliste!$C$6:$C$40,8)=0,"",INDEX(Klassenliste!$C$6:$C$40,8))</f>
        <v/>
      </c>
      <c r="D15" s="49" t="inlineStr"/>
      <c r="E15" s="49" t="inlineStr"/>
      <c r="F15" s="49" t="inlineStr"/>
      <c r="G15" s="49" t="inlineStr"/>
      <c r="H15" s="49" t="inlineStr"/>
      <c r="I15" s="49" t="inlineStr"/>
      <c r="J15" s="49" t="inlineStr"/>
      <c r="K15" s="49" t="inlineStr"/>
      <c r="L15" s="49" t="inlineStr"/>
      <c r="M15" s="49" t="inlineStr"/>
      <c r="N15" s="49" t="inlineStr"/>
      <c r="O15" s="49" t="inlineStr"/>
      <c r="P15" s="47">
        <f>IF(COUNT(D15:O15)=0,"",SUM(D15:O15))</f>
        <v/>
      </c>
      <c r="Q15" s="65">
        <f>IF(P15="","",P15/$P$4)</f>
        <v/>
      </c>
      <c r="R15" s="50">
        <f>IF(Q15="","",LOOKUP(ROUND(Q15,6),Notentabelle!$C$4:$C$19,Notentabelle!$A$4:$A$19))</f>
        <v/>
      </c>
      <c r="S15" s="22">
        <f>IF(R15="","",INDEX(Notentabelle!$B$4:$B$19,R15+1))</f>
        <v/>
      </c>
      <c r="T15" s="66" t="inlineStr"/>
    </row>
    <row r="16">
      <c r="A16" s="37" t="n">
        <v>9</v>
      </c>
      <c r="B16" s="31">
        <f>IF(INDEX(Klassenliste!$B$6:$B$40,9)=0,"",INDEX(Klassenliste!$B$6:$B$40,9))</f>
        <v/>
      </c>
      <c r="C16" s="31">
        <f>IF(INDEX(Klassenliste!$C$6:$C$40,9)=0,"",INDEX(Klassenliste!$C$6:$C$40,9))</f>
        <v/>
      </c>
      <c r="D16" s="49" t="inlineStr"/>
      <c r="E16" s="49" t="inlineStr"/>
      <c r="F16" s="49" t="inlineStr"/>
      <c r="G16" s="49" t="inlineStr"/>
      <c r="H16" s="49" t="inlineStr"/>
      <c r="I16" s="49" t="inlineStr"/>
      <c r="J16" s="49" t="inlineStr"/>
      <c r="K16" s="49" t="inlineStr"/>
      <c r="L16" s="49" t="inlineStr"/>
      <c r="M16" s="49" t="inlineStr"/>
      <c r="N16" s="49" t="inlineStr"/>
      <c r="O16" s="49" t="inlineStr"/>
      <c r="P16" s="47">
        <f>IF(COUNT(D16:O16)=0,"",SUM(D16:O16))</f>
        <v/>
      </c>
      <c r="Q16" s="65">
        <f>IF(P16="","",P16/$P$4)</f>
        <v/>
      </c>
      <c r="R16" s="50">
        <f>IF(Q16="","",LOOKUP(ROUND(Q16,6),Notentabelle!$C$4:$C$19,Notentabelle!$A$4:$A$19))</f>
        <v/>
      </c>
      <c r="S16" s="22">
        <f>IF(R16="","",INDEX(Notentabelle!$B$4:$B$19,R16+1))</f>
        <v/>
      </c>
      <c r="T16" s="66" t="inlineStr"/>
    </row>
    <row r="17">
      <c r="A17" s="37" t="n">
        <v>10</v>
      </c>
      <c r="B17" s="31">
        <f>IF(INDEX(Klassenliste!$B$6:$B$40,10)=0,"",INDEX(Klassenliste!$B$6:$B$40,10))</f>
        <v/>
      </c>
      <c r="C17" s="31">
        <f>IF(INDEX(Klassenliste!$C$6:$C$40,10)=0,"",INDEX(Klassenliste!$C$6:$C$40,10))</f>
        <v/>
      </c>
      <c r="D17" s="49" t="inlineStr"/>
      <c r="E17" s="49" t="inlineStr"/>
      <c r="F17" s="49" t="inlineStr"/>
      <c r="G17" s="49" t="inlineStr"/>
      <c r="H17" s="49" t="inlineStr"/>
      <c r="I17" s="49" t="inlineStr"/>
      <c r="J17" s="49" t="inlineStr"/>
      <c r="K17" s="49" t="inlineStr"/>
      <c r="L17" s="49" t="inlineStr"/>
      <c r="M17" s="49" t="inlineStr"/>
      <c r="N17" s="49" t="inlineStr"/>
      <c r="O17" s="49" t="inlineStr"/>
      <c r="P17" s="47">
        <f>IF(COUNT(D17:O17)=0,"",SUM(D17:O17))</f>
        <v/>
      </c>
      <c r="Q17" s="65">
        <f>IF(P17="","",P17/$P$4)</f>
        <v/>
      </c>
      <c r="R17" s="50">
        <f>IF(Q17="","",LOOKUP(ROUND(Q17,6),Notentabelle!$C$4:$C$19,Notentabelle!$A$4:$A$19))</f>
        <v/>
      </c>
      <c r="S17" s="22">
        <f>IF(R17="","",INDEX(Notentabelle!$B$4:$B$19,R17+1))</f>
        <v/>
      </c>
      <c r="T17" s="66" t="inlineStr"/>
    </row>
    <row r="18">
      <c r="A18" s="37" t="n">
        <v>11</v>
      </c>
      <c r="B18" s="31">
        <f>IF(INDEX(Klassenliste!$B$6:$B$40,11)=0,"",INDEX(Klassenliste!$B$6:$B$40,11))</f>
        <v/>
      </c>
      <c r="C18" s="31">
        <f>IF(INDEX(Klassenliste!$C$6:$C$40,11)=0,"",INDEX(Klassenliste!$C$6:$C$40,11))</f>
        <v/>
      </c>
      <c r="D18" s="49" t="inlineStr"/>
      <c r="E18" s="49" t="inlineStr"/>
      <c r="F18" s="49" t="inlineStr"/>
      <c r="G18" s="49" t="inlineStr"/>
      <c r="H18" s="49" t="inlineStr"/>
      <c r="I18" s="49" t="inlineStr"/>
      <c r="J18" s="49" t="inlineStr"/>
      <c r="K18" s="49" t="inlineStr"/>
      <c r="L18" s="49" t="inlineStr"/>
      <c r="M18" s="49" t="inlineStr"/>
      <c r="N18" s="49" t="inlineStr"/>
      <c r="O18" s="49" t="inlineStr"/>
      <c r="P18" s="47">
        <f>IF(COUNT(D18:O18)=0,"",SUM(D18:O18))</f>
        <v/>
      </c>
      <c r="Q18" s="65">
        <f>IF(P18="","",P18/$P$4)</f>
        <v/>
      </c>
      <c r="R18" s="50">
        <f>IF(Q18="","",LOOKUP(ROUND(Q18,6),Notentabelle!$C$4:$C$19,Notentabelle!$A$4:$A$19))</f>
        <v/>
      </c>
      <c r="S18" s="22">
        <f>IF(R18="","",INDEX(Notentabelle!$B$4:$B$19,R18+1))</f>
        <v/>
      </c>
      <c r="T18" s="66" t="inlineStr"/>
    </row>
    <row r="19">
      <c r="A19" s="37" t="n">
        <v>12</v>
      </c>
      <c r="B19" s="31">
        <f>IF(INDEX(Klassenliste!$B$6:$B$40,12)=0,"",INDEX(Klassenliste!$B$6:$B$40,12))</f>
        <v/>
      </c>
      <c r="C19" s="31">
        <f>IF(INDEX(Klassenliste!$C$6:$C$40,12)=0,"",INDEX(Klassenliste!$C$6:$C$40,12))</f>
        <v/>
      </c>
      <c r="D19" s="49" t="inlineStr"/>
      <c r="E19" s="49" t="inlineStr"/>
      <c r="F19" s="49" t="inlineStr"/>
      <c r="G19" s="49" t="inlineStr"/>
      <c r="H19" s="49" t="inlineStr"/>
      <c r="I19" s="49" t="inlineStr"/>
      <c r="J19" s="49" t="inlineStr"/>
      <c r="K19" s="49" t="inlineStr"/>
      <c r="L19" s="49" t="inlineStr"/>
      <c r="M19" s="49" t="inlineStr"/>
      <c r="N19" s="49" t="inlineStr"/>
      <c r="O19" s="49" t="inlineStr"/>
      <c r="P19" s="47">
        <f>IF(COUNT(D19:O19)=0,"",SUM(D19:O19))</f>
        <v/>
      </c>
      <c r="Q19" s="65">
        <f>IF(P19="","",P19/$P$4)</f>
        <v/>
      </c>
      <c r="R19" s="50">
        <f>IF(Q19="","",LOOKUP(ROUND(Q19,6),Notentabelle!$C$4:$C$19,Notentabelle!$A$4:$A$19))</f>
        <v/>
      </c>
      <c r="S19" s="22">
        <f>IF(R19="","",INDEX(Notentabelle!$B$4:$B$19,R19+1))</f>
        <v/>
      </c>
      <c r="T19" s="66" t="inlineStr"/>
    </row>
    <row r="20">
      <c r="A20" s="37" t="n">
        <v>13</v>
      </c>
      <c r="B20" s="31">
        <f>IF(INDEX(Klassenliste!$B$6:$B$40,13)=0,"",INDEX(Klassenliste!$B$6:$B$40,13))</f>
        <v/>
      </c>
      <c r="C20" s="31">
        <f>IF(INDEX(Klassenliste!$C$6:$C$40,13)=0,"",INDEX(Klassenliste!$C$6:$C$40,13))</f>
        <v/>
      </c>
      <c r="D20" s="49" t="inlineStr"/>
      <c r="E20" s="49" t="inlineStr"/>
      <c r="F20" s="49" t="inlineStr"/>
      <c r="G20" s="49" t="inlineStr"/>
      <c r="H20" s="49" t="inlineStr"/>
      <c r="I20" s="49" t="inlineStr"/>
      <c r="J20" s="49" t="inlineStr"/>
      <c r="K20" s="49" t="inlineStr"/>
      <c r="L20" s="49" t="inlineStr"/>
      <c r="M20" s="49" t="inlineStr"/>
      <c r="N20" s="49" t="inlineStr"/>
      <c r="O20" s="49" t="inlineStr"/>
      <c r="P20" s="47">
        <f>IF(COUNT(D20:O20)=0,"",SUM(D20:O20))</f>
        <v/>
      </c>
      <c r="Q20" s="65">
        <f>IF(P20="","",P20/$P$4)</f>
        <v/>
      </c>
      <c r="R20" s="50">
        <f>IF(Q20="","",LOOKUP(ROUND(Q20,6),Notentabelle!$C$4:$C$19,Notentabelle!$A$4:$A$19))</f>
        <v/>
      </c>
      <c r="S20" s="22">
        <f>IF(R20="","",INDEX(Notentabelle!$B$4:$B$19,R20+1))</f>
        <v/>
      </c>
      <c r="T20" s="66" t="inlineStr"/>
    </row>
    <row r="21">
      <c r="A21" s="37" t="n">
        <v>14</v>
      </c>
      <c r="B21" s="31">
        <f>IF(INDEX(Klassenliste!$B$6:$B$40,14)=0,"",INDEX(Klassenliste!$B$6:$B$40,14))</f>
        <v/>
      </c>
      <c r="C21" s="31">
        <f>IF(INDEX(Klassenliste!$C$6:$C$40,14)=0,"",INDEX(Klassenliste!$C$6:$C$40,14))</f>
        <v/>
      </c>
      <c r="D21" s="49" t="inlineStr"/>
      <c r="E21" s="49" t="inlineStr"/>
      <c r="F21" s="49" t="inlineStr"/>
      <c r="G21" s="49" t="inlineStr"/>
      <c r="H21" s="49" t="inlineStr"/>
      <c r="I21" s="49" t="inlineStr"/>
      <c r="J21" s="49" t="inlineStr"/>
      <c r="K21" s="49" t="inlineStr"/>
      <c r="L21" s="49" t="inlineStr"/>
      <c r="M21" s="49" t="inlineStr"/>
      <c r="N21" s="49" t="inlineStr"/>
      <c r="O21" s="49" t="inlineStr"/>
      <c r="P21" s="47">
        <f>IF(COUNT(D21:O21)=0,"",SUM(D21:O21))</f>
        <v/>
      </c>
      <c r="Q21" s="65">
        <f>IF(P21="","",P21/$P$4)</f>
        <v/>
      </c>
      <c r="R21" s="50">
        <f>IF(Q21="","",LOOKUP(ROUND(Q21,6),Notentabelle!$C$4:$C$19,Notentabelle!$A$4:$A$19))</f>
        <v/>
      </c>
      <c r="S21" s="22">
        <f>IF(R21="","",INDEX(Notentabelle!$B$4:$B$19,R21+1))</f>
        <v/>
      </c>
      <c r="T21" s="66" t="inlineStr"/>
    </row>
    <row r="22">
      <c r="A22" s="37" t="n">
        <v>15</v>
      </c>
      <c r="B22" s="31">
        <f>IF(INDEX(Klassenliste!$B$6:$B$40,15)=0,"",INDEX(Klassenliste!$B$6:$B$40,15))</f>
        <v/>
      </c>
      <c r="C22" s="31">
        <f>IF(INDEX(Klassenliste!$C$6:$C$40,15)=0,"",INDEX(Klassenliste!$C$6:$C$40,15))</f>
        <v/>
      </c>
      <c r="D22" s="49" t="inlineStr"/>
      <c r="E22" s="49" t="inlineStr"/>
      <c r="F22" s="49" t="inlineStr"/>
      <c r="G22" s="49" t="inlineStr"/>
      <c r="H22" s="49" t="inlineStr"/>
      <c r="I22" s="49" t="inlineStr"/>
      <c r="J22" s="49" t="inlineStr"/>
      <c r="K22" s="49" t="inlineStr"/>
      <c r="L22" s="49" t="inlineStr"/>
      <c r="M22" s="49" t="inlineStr"/>
      <c r="N22" s="49" t="inlineStr"/>
      <c r="O22" s="49" t="inlineStr"/>
      <c r="P22" s="47">
        <f>IF(COUNT(D22:O22)=0,"",SUM(D22:O22))</f>
        <v/>
      </c>
      <c r="Q22" s="65">
        <f>IF(P22="","",P22/$P$4)</f>
        <v/>
      </c>
      <c r="R22" s="50">
        <f>IF(Q22="","",LOOKUP(ROUND(Q22,6),Notentabelle!$C$4:$C$19,Notentabelle!$A$4:$A$19))</f>
        <v/>
      </c>
      <c r="S22" s="22">
        <f>IF(R22="","",INDEX(Notentabelle!$B$4:$B$19,R22+1))</f>
        <v/>
      </c>
      <c r="T22" s="66" t="inlineStr"/>
    </row>
    <row r="23">
      <c r="A23" s="37" t="n">
        <v>16</v>
      </c>
      <c r="B23" s="31">
        <f>IF(INDEX(Klassenliste!$B$6:$B$40,16)=0,"",INDEX(Klassenliste!$B$6:$B$40,16))</f>
        <v/>
      </c>
      <c r="C23" s="31">
        <f>IF(INDEX(Klassenliste!$C$6:$C$40,16)=0,"",INDEX(Klassenliste!$C$6:$C$40,16))</f>
        <v/>
      </c>
      <c r="D23" s="49" t="inlineStr"/>
      <c r="E23" s="49" t="inlineStr"/>
      <c r="F23" s="49" t="inlineStr"/>
      <c r="G23" s="49" t="inlineStr"/>
      <c r="H23" s="49" t="inlineStr"/>
      <c r="I23" s="49" t="inlineStr"/>
      <c r="J23" s="49" t="inlineStr"/>
      <c r="K23" s="49" t="inlineStr"/>
      <c r="L23" s="49" t="inlineStr"/>
      <c r="M23" s="49" t="inlineStr"/>
      <c r="N23" s="49" t="inlineStr"/>
      <c r="O23" s="49" t="inlineStr"/>
      <c r="P23" s="47">
        <f>IF(COUNT(D23:O23)=0,"",SUM(D23:O23))</f>
        <v/>
      </c>
      <c r="Q23" s="65">
        <f>IF(P23="","",P23/$P$4)</f>
        <v/>
      </c>
      <c r="R23" s="50">
        <f>IF(Q23="","",LOOKUP(ROUND(Q23,6),Notentabelle!$C$4:$C$19,Notentabelle!$A$4:$A$19))</f>
        <v/>
      </c>
      <c r="S23" s="22">
        <f>IF(R23="","",INDEX(Notentabelle!$B$4:$B$19,R23+1))</f>
        <v/>
      </c>
      <c r="T23" s="66" t="inlineStr"/>
    </row>
    <row r="24">
      <c r="A24" s="37" t="n">
        <v>17</v>
      </c>
      <c r="B24" s="31">
        <f>IF(INDEX(Klassenliste!$B$6:$B$40,17)=0,"",INDEX(Klassenliste!$B$6:$B$40,17))</f>
        <v/>
      </c>
      <c r="C24" s="31">
        <f>IF(INDEX(Klassenliste!$C$6:$C$40,17)=0,"",INDEX(Klassenliste!$C$6:$C$40,17))</f>
        <v/>
      </c>
      <c r="D24" s="49" t="inlineStr"/>
      <c r="E24" s="49" t="inlineStr"/>
      <c r="F24" s="49" t="inlineStr"/>
      <c r="G24" s="49" t="inlineStr"/>
      <c r="H24" s="49" t="inlineStr"/>
      <c r="I24" s="49" t="inlineStr"/>
      <c r="J24" s="49" t="inlineStr"/>
      <c r="K24" s="49" t="inlineStr"/>
      <c r="L24" s="49" t="inlineStr"/>
      <c r="M24" s="49" t="inlineStr"/>
      <c r="N24" s="49" t="inlineStr"/>
      <c r="O24" s="49" t="inlineStr"/>
      <c r="P24" s="47">
        <f>IF(COUNT(D24:O24)=0,"",SUM(D24:O24))</f>
        <v/>
      </c>
      <c r="Q24" s="65">
        <f>IF(P24="","",P24/$P$4)</f>
        <v/>
      </c>
      <c r="R24" s="50">
        <f>IF(Q24="","",LOOKUP(ROUND(Q24,6),Notentabelle!$C$4:$C$19,Notentabelle!$A$4:$A$19))</f>
        <v/>
      </c>
      <c r="S24" s="22">
        <f>IF(R24="","",INDEX(Notentabelle!$B$4:$B$19,R24+1))</f>
        <v/>
      </c>
      <c r="T24" s="66" t="inlineStr"/>
    </row>
    <row r="25">
      <c r="A25" s="37" t="n">
        <v>18</v>
      </c>
      <c r="B25" s="31">
        <f>IF(INDEX(Klassenliste!$B$6:$B$40,18)=0,"",INDEX(Klassenliste!$B$6:$B$40,18))</f>
        <v/>
      </c>
      <c r="C25" s="31">
        <f>IF(INDEX(Klassenliste!$C$6:$C$40,18)=0,"",INDEX(Klassenliste!$C$6:$C$40,18))</f>
        <v/>
      </c>
      <c r="D25" s="49" t="inlineStr"/>
      <c r="E25" s="49" t="inlineStr"/>
      <c r="F25" s="49" t="inlineStr"/>
      <c r="G25" s="49" t="inlineStr"/>
      <c r="H25" s="49" t="inlineStr"/>
      <c r="I25" s="49" t="inlineStr"/>
      <c r="J25" s="49" t="inlineStr"/>
      <c r="K25" s="49" t="inlineStr"/>
      <c r="L25" s="49" t="inlineStr"/>
      <c r="M25" s="49" t="inlineStr"/>
      <c r="N25" s="49" t="inlineStr"/>
      <c r="O25" s="49" t="inlineStr"/>
      <c r="P25" s="47">
        <f>IF(COUNT(D25:O25)=0,"",SUM(D25:O25))</f>
        <v/>
      </c>
      <c r="Q25" s="65">
        <f>IF(P25="","",P25/$P$4)</f>
        <v/>
      </c>
      <c r="R25" s="50">
        <f>IF(Q25="","",LOOKUP(ROUND(Q25,6),Notentabelle!$C$4:$C$19,Notentabelle!$A$4:$A$19))</f>
        <v/>
      </c>
      <c r="S25" s="22">
        <f>IF(R25="","",INDEX(Notentabelle!$B$4:$B$19,R25+1))</f>
        <v/>
      </c>
      <c r="T25" s="66" t="inlineStr"/>
    </row>
    <row r="26">
      <c r="A26" s="37" t="n">
        <v>19</v>
      </c>
      <c r="B26" s="31">
        <f>IF(INDEX(Klassenliste!$B$6:$B$40,19)=0,"",INDEX(Klassenliste!$B$6:$B$40,19))</f>
        <v/>
      </c>
      <c r="C26" s="31">
        <f>IF(INDEX(Klassenliste!$C$6:$C$40,19)=0,"",INDEX(Klassenliste!$C$6:$C$40,19))</f>
        <v/>
      </c>
      <c r="D26" s="49" t="inlineStr"/>
      <c r="E26" s="49" t="inlineStr"/>
      <c r="F26" s="49" t="inlineStr"/>
      <c r="G26" s="49" t="inlineStr"/>
      <c r="H26" s="49" t="inlineStr"/>
      <c r="I26" s="49" t="inlineStr"/>
      <c r="J26" s="49" t="inlineStr"/>
      <c r="K26" s="49" t="inlineStr"/>
      <c r="L26" s="49" t="inlineStr"/>
      <c r="M26" s="49" t="inlineStr"/>
      <c r="N26" s="49" t="inlineStr"/>
      <c r="O26" s="49" t="inlineStr"/>
      <c r="P26" s="47">
        <f>IF(COUNT(D26:O26)=0,"",SUM(D26:O26))</f>
        <v/>
      </c>
      <c r="Q26" s="65">
        <f>IF(P26="","",P26/$P$4)</f>
        <v/>
      </c>
      <c r="R26" s="50">
        <f>IF(Q26="","",LOOKUP(ROUND(Q26,6),Notentabelle!$C$4:$C$19,Notentabelle!$A$4:$A$19))</f>
        <v/>
      </c>
      <c r="S26" s="22">
        <f>IF(R26="","",INDEX(Notentabelle!$B$4:$B$19,R26+1))</f>
        <v/>
      </c>
      <c r="T26" s="66" t="inlineStr"/>
    </row>
    <row r="27">
      <c r="A27" s="37" t="n">
        <v>20</v>
      </c>
      <c r="B27" s="31">
        <f>IF(INDEX(Klassenliste!$B$6:$B$40,20)=0,"",INDEX(Klassenliste!$B$6:$B$40,20))</f>
        <v/>
      </c>
      <c r="C27" s="31">
        <f>IF(INDEX(Klassenliste!$C$6:$C$40,20)=0,"",INDEX(Klassenliste!$C$6:$C$40,20))</f>
        <v/>
      </c>
      <c r="D27" s="49" t="inlineStr"/>
      <c r="E27" s="49" t="inlineStr"/>
      <c r="F27" s="49" t="inlineStr"/>
      <c r="G27" s="49" t="inlineStr"/>
      <c r="H27" s="49" t="inlineStr"/>
      <c r="I27" s="49" t="inlineStr"/>
      <c r="J27" s="49" t="inlineStr"/>
      <c r="K27" s="49" t="inlineStr"/>
      <c r="L27" s="49" t="inlineStr"/>
      <c r="M27" s="49" t="inlineStr"/>
      <c r="N27" s="49" t="inlineStr"/>
      <c r="O27" s="49" t="inlineStr"/>
      <c r="P27" s="47">
        <f>IF(COUNT(D27:O27)=0,"",SUM(D27:O27))</f>
        <v/>
      </c>
      <c r="Q27" s="65">
        <f>IF(P27="","",P27/$P$4)</f>
        <v/>
      </c>
      <c r="R27" s="50">
        <f>IF(Q27="","",LOOKUP(ROUND(Q27,6),Notentabelle!$C$4:$C$19,Notentabelle!$A$4:$A$19))</f>
        <v/>
      </c>
      <c r="S27" s="22">
        <f>IF(R27="","",INDEX(Notentabelle!$B$4:$B$19,R27+1))</f>
        <v/>
      </c>
      <c r="T27" s="66" t="inlineStr"/>
    </row>
    <row r="28">
      <c r="A28" s="37" t="n">
        <v>21</v>
      </c>
      <c r="B28" s="31">
        <f>IF(INDEX(Klassenliste!$B$6:$B$40,21)=0,"",INDEX(Klassenliste!$B$6:$B$40,21))</f>
        <v/>
      </c>
      <c r="C28" s="31">
        <f>IF(INDEX(Klassenliste!$C$6:$C$40,21)=0,"",INDEX(Klassenliste!$C$6:$C$40,21))</f>
        <v/>
      </c>
      <c r="D28" s="49" t="inlineStr"/>
      <c r="E28" s="49" t="inlineStr"/>
      <c r="F28" s="49" t="inlineStr"/>
      <c r="G28" s="49" t="inlineStr"/>
      <c r="H28" s="49" t="inlineStr"/>
      <c r="I28" s="49" t="inlineStr"/>
      <c r="J28" s="49" t="inlineStr"/>
      <c r="K28" s="49" t="inlineStr"/>
      <c r="L28" s="49" t="inlineStr"/>
      <c r="M28" s="49" t="inlineStr"/>
      <c r="N28" s="49" t="inlineStr"/>
      <c r="O28" s="49" t="inlineStr"/>
      <c r="P28" s="47">
        <f>IF(COUNT(D28:O28)=0,"",SUM(D28:O28))</f>
        <v/>
      </c>
      <c r="Q28" s="65">
        <f>IF(P28="","",P28/$P$4)</f>
        <v/>
      </c>
      <c r="R28" s="50">
        <f>IF(Q28="","",LOOKUP(ROUND(Q28,6),Notentabelle!$C$4:$C$19,Notentabelle!$A$4:$A$19))</f>
        <v/>
      </c>
      <c r="S28" s="22">
        <f>IF(R28="","",INDEX(Notentabelle!$B$4:$B$19,R28+1))</f>
        <v/>
      </c>
      <c r="T28" s="66" t="inlineStr"/>
    </row>
    <row r="29">
      <c r="A29" s="37" t="n">
        <v>22</v>
      </c>
      <c r="B29" s="31">
        <f>IF(INDEX(Klassenliste!$B$6:$B$40,22)=0,"",INDEX(Klassenliste!$B$6:$B$40,22))</f>
        <v/>
      </c>
      <c r="C29" s="31">
        <f>IF(INDEX(Klassenliste!$C$6:$C$40,22)=0,"",INDEX(Klassenliste!$C$6:$C$40,22))</f>
        <v/>
      </c>
      <c r="D29" s="49" t="inlineStr"/>
      <c r="E29" s="49" t="inlineStr"/>
      <c r="F29" s="49" t="inlineStr"/>
      <c r="G29" s="49" t="inlineStr"/>
      <c r="H29" s="49" t="inlineStr"/>
      <c r="I29" s="49" t="inlineStr"/>
      <c r="J29" s="49" t="inlineStr"/>
      <c r="K29" s="49" t="inlineStr"/>
      <c r="L29" s="49" t="inlineStr"/>
      <c r="M29" s="49" t="inlineStr"/>
      <c r="N29" s="49" t="inlineStr"/>
      <c r="O29" s="49" t="inlineStr"/>
      <c r="P29" s="47">
        <f>IF(COUNT(D29:O29)=0,"",SUM(D29:O29))</f>
        <v/>
      </c>
      <c r="Q29" s="65">
        <f>IF(P29="","",P29/$P$4)</f>
        <v/>
      </c>
      <c r="R29" s="50">
        <f>IF(Q29="","",LOOKUP(ROUND(Q29,6),Notentabelle!$C$4:$C$19,Notentabelle!$A$4:$A$19))</f>
        <v/>
      </c>
      <c r="S29" s="22">
        <f>IF(R29="","",INDEX(Notentabelle!$B$4:$B$19,R29+1))</f>
        <v/>
      </c>
      <c r="T29" s="66" t="inlineStr"/>
    </row>
    <row r="30">
      <c r="A30" s="37" t="n">
        <v>23</v>
      </c>
      <c r="B30" s="31">
        <f>IF(INDEX(Klassenliste!$B$6:$B$40,23)=0,"",INDEX(Klassenliste!$B$6:$B$40,23))</f>
        <v/>
      </c>
      <c r="C30" s="31">
        <f>IF(INDEX(Klassenliste!$C$6:$C$40,23)=0,"",INDEX(Klassenliste!$C$6:$C$40,23))</f>
        <v/>
      </c>
      <c r="D30" s="49" t="inlineStr"/>
      <c r="E30" s="49" t="inlineStr"/>
      <c r="F30" s="49" t="inlineStr"/>
      <c r="G30" s="49" t="inlineStr"/>
      <c r="H30" s="49" t="inlineStr"/>
      <c r="I30" s="49" t="inlineStr"/>
      <c r="J30" s="49" t="inlineStr"/>
      <c r="K30" s="49" t="inlineStr"/>
      <c r="L30" s="49" t="inlineStr"/>
      <c r="M30" s="49" t="inlineStr"/>
      <c r="N30" s="49" t="inlineStr"/>
      <c r="O30" s="49" t="inlineStr"/>
      <c r="P30" s="47">
        <f>IF(COUNT(D30:O30)=0,"",SUM(D30:O30))</f>
        <v/>
      </c>
      <c r="Q30" s="65">
        <f>IF(P30="","",P30/$P$4)</f>
        <v/>
      </c>
      <c r="R30" s="50">
        <f>IF(Q30="","",LOOKUP(ROUND(Q30,6),Notentabelle!$C$4:$C$19,Notentabelle!$A$4:$A$19))</f>
        <v/>
      </c>
      <c r="S30" s="22">
        <f>IF(R30="","",INDEX(Notentabelle!$B$4:$B$19,R30+1))</f>
        <v/>
      </c>
      <c r="T30" s="66" t="inlineStr"/>
    </row>
    <row r="31">
      <c r="A31" s="37" t="n">
        <v>24</v>
      </c>
      <c r="B31" s="31">
        <f>IF(INDEX(Klassenliste!$B$6:$B$40,24)=0,"",INDEX(Klassenliste!$B$6:$B$40,24))</f>
        <v/>
      </c>
      <c r="C31" s="31">
        <f>IF(INDEX(Klassenliste!$C$6:$C$40,24)=0,"",INDEX(Klassenliste!$C$6:$C$40,24))</f>
        <v/>
      </c>
      <c r="D31" s="49" t="inlineStr"/>
      <c r="E31" s="49" t="inlineStr"/>
      <c r="F31" s="49" t="inlineStr"/>
      <c r="G31" s="49" t="inlineStr"/>
      <c r="H31" s="49" t="inlineStr"/>
      <c r="I31" s="49" t="inlineStr"/>
      <c r="J31" s="49" t="inlineStr"/>
      <c r="K31" s="49" t="inlineStr"/>
      <c r="L31" s="49" t="inlineStr"/>
      <c r="M31" s="49" t="inlineStr"/>
      <c r="N31" s="49" t="inlineStr"/>
      <c r="O31" s="49" t="inlineStr"/>
      <c r="P31" s="47">
        <f>IF(COUNT(D31:O31)=0,"",SUM(D31:O31))</f>
        <v/>
      </c>
      <c r="Q31" s="65">
        <f>IF(P31="","",P31/$P$4)</f>
        <v/>
      </c>
      <c r="R31" s="50">
        <f>IF(Q31="","",LOOKUP(ROUND(Q31,6),Notentabelle!$C$4:$C$19,Notentabelle!$A$4:$A$19))</f>
        <v/>
      </c>
      <c r="S31" s="22">
        <f>IF(R31="","",INDEX(Notentabelle!$B$4:$B$19,R31+1))</f>
        <v/>
      </c>
      <c r="T31" s="66" t="inlineStr"/>
    </row>
    <row r="32">
      <c r="A32" s="37" t="n">
        <v>25</v>
      </c>
      <c r="B32" s="31">
        <f>IF(INDEX(Klassenliste!$B$6:$B$40,25)=0,"",INDEX(Klassenliste!$B$6:$B$40,25))</f>
        <v/>
      </c>
      <c r="C32" s="31">
        <f>IF(INDEX(Klassenliste!$C$6:$C$40,25)=0,"",INDEX(Klassenliste!$C$6:$C$40,25))</f>
        <v/>
      </c>
      <c r="D32" s="49" t="inlineStr"/>
      <c r="E32" s="49" t="inlineStr"/>
      <c r="F32" s="49" t="inlineStr"/>
      <c r="G32" s="49" t="inlineStr"/>
      <c r="H32" s="49" t="inlineStr"/>
      <c r="I32" s="49" t="inlineStr"/>
      <c r="J32" s="49" t="inlineStr"/>
      <c r="K32" s="49" t="inlineStr"/>
      <c r="L32" s="49" t="inlineStr"/>
      <c r="M32" s="49" t="inlineStr"/>
      <c r="N32" s="49" t="inlineStr"/>
      <c r="O32" s="49" t="inlineStr"/>
      <c r="P32" s="47">
        <f>IF(COUNT(D32:O32)=0,"",SUM(D32:O32))</f>
        <v/>
      </c>
      <c r="Q32" s="65">
        <f>IF(P32="","",P32/$P$4)</f>
        <v/>
      </c>
      <c r="R32" s="50">
        <f>IF(Q32="","",LOOKUP(ROUND(Q32,6),Notentabelle!$C$4:$C$19,Notentabelle!$A$4:$A$19))</f>
        <v/>
      </c>
      <c r="S32" s="22">
        <f>IF(R32="","",INDEX(Notentabelle!$B$4:$B$19,R32+1))</f>
        <v/>
      </c>
      <c r="T32" s="66" t="inlineStr"/>
    </row>
    <row r="33">
      <c r="A33" s="37" t="n">
        <v>26</v>
      </c>
      <c r="B33" s="31">
        <f>IF(INDEX(Klassenliste!$B$6:$B$40,26)=0,"",INDEX(Klassenliste!$B$6:$B$40,26))</f>
        <v/>
      </c>
      <c r="C33" s="31">
        <f>IF(INDEX(Klassenliste!$C$6:$C$40,26)=0,"",INDEX(Klassenliste!$C$6:$C$40,26))</f>
        <v/>
      </c>
      <c r="D33" s="49" t="inlineStr"/>
      <c r="E33" s="49" t="inlineStr"/>
      <c r="F33" s="49" t="inlineStr"/>
      <c r="G33" s="49" t="inlineStr"/>
      <c r="H33" s="49" t="inlineStr"/>
      <c r="I33" s="49" t="inlineStr"/>
      <c r="J33" s="49" t="inlineStr"/>
      <c r="K33" s="49" t="inlineStr"/>
      <c r="L33" s="49" t="inlineStr"/>
      <c r="M33" s="49" t="inlineStr"/>
      <c r="N33" s="49" t="inlineStr"/>
      <c r="O33" s="49" t="inlineStr"/>
      <c r="P33" s="47">
        <f>IF(COUNT(D33:O33)=0,"",SUM(D33:O33))</f>
        <v/>
      </c>
      <c r="Q33" s="65">
        <f>IF(P33="","",P33/$P$4)</f>
        <v/>
      </c>
      <c r="R33" s="50">
        <f>IF(Q33="","",LOOKUP(ROUND(Q33,6),Notentabelle!$C$4:$C$19,Notentabelle!$A$4:$A$19))</f>
        <v/>
      </c>
      <c r="S33" s="22">
        <f>IF(R33="","",INDEX(Notentabelle!$B$4:$B$19,R33+1))</f>
        <v/>
      </c>
      <c r="T33" s="66" t="inlineStr"/>
    </row>
    <row r="34">
      <c r="A34" s="37" t="n">
        <v>27</v>
      </c>
      <c r="B34" s="31">
        <f>IF(INDEX(Klassenliste!$B$6:$B$40,27)=0,"",INDEX(Klassenliste!$B$6:$B$40,27))</f>
        <v/>
      </c>
      <c r="C34" s="31">
        <f>IF(INDEX(Klassenliste!$C$6:$C$40,27)=0,"",INDEX(Klassenliste!$C$6:$C$40,27))</f>
        <v/>
      </c>
      <c r="D34" s="49" t="inlineStr"/>
      <c r="E34" s="49" t="inlineStr"/>
      <c r="F34" s="49" t="inlineStr"/>
      <c r="G34" s="49" t="inlineStr"/>
      <c r="H34" s="49" t="inlineStr"/>
      <c r="I34" s="49" t="inlineStr"/>
      <c r="J34" s="49" t="inlineStr"/>
      <c r="K34" s="49" t="inlineStr"/>
      <c r="L34" s="49" t="inlineStr"/>
      <c r="M34" s="49" t="inlineStr"/>
      <c r="N34" s="49" t="inlineStr"/>
      <c r="O34" s="49" t="inlineStr"/>
      <c r="P34" s="47">
        <f>IF(COUNT(D34:O34)=0,"",SUM(D34:O34))</f>
        <v/>
      </c>
      <c r="Q34" s="65">
        <f>IF(P34="","",P34/$P$4)</f>
        <v/>
      </c>
      <c r="R34" s="50">
        <f>IF(Q34="","",LOOKUP(ROUND(Q34,6),Notentabelle!$C$4:$C$19,Notentabelle!$A$4:$A$19))</f>
        <v/>
      </c>
      <c r="S34" s="22">
        <f>IF(R34="","",INDEX(Notentabelle!$B$4:$B$19,R34+1))</f>
        <v/>
      </c>
      <c r="T34" s="66" t="inlineStr"/>
    </row>
    <row r="35">
      <c r="A35" s="37" t="n">
        <v>28</v>
      </c>
      <c r="B35" s="31">
        <f>IF(INDEX(Klassenliste!$B$6:$B$40,28)=0,"",INDEX(Klassenliste!$B$6:$B$40,28))</f>
        <v/>
      </c>
      <c r="C35" s="31">
        <f>IF(INDEX(Klassenliste!$C$6:$C$40,28)=0,"",INDEX(Klassenliste!$C$6:$C$40,28))</f>
        <v/>
      </c>
      <c r="D35" s="49" t="inlineStr"/>
      <c r="E35" s="49" t="inlineStr"/>
      <c r="F35" s="49" t="inlineStr"/>
      <c r="G35" s="49" t="inlineStr"/>
      <c r="H35" s="49" t="inlineStr"/>
      <c r="I35" s="49" t="inlineStr"/>
      <c r="J35" s="49" t="inlineStr"/>
      <c r="K35" s="49" t="inlineStr"/>
      <c r="L35" s="49" t="inlineStr"/>
      <c r="M35" s="49" t="inlineStr"/>
      <c r="N35" s="49" t="inlineStr"/>
      <c r="O35" s="49" t="inlineStr"/>
      <c r="P35" s="47">
        <f>IF(COUNT(D35:O35)=0,"",SUM(D35:O35))</f>
        <v/>
      </c>
      <c r="Q35" s="65">
        <f>IF(P35="","",P35/$P$4)</f>
        <v/>
      </c>
      <c r="R35" s="50">
        <f>IF(Q35="","",LOOKUP(ROUND(Q35,6),Notentabelle!$C$4:$C$19,Notentabelle!$A$4:$A$19))</f>
        <v/>
      </c>
      <c r="S35" s="22">
        <f>IF(R35="","",INDEX(Notentabelle!$B$4:$B$19,R35+1))</f>
        <v/>
      </c>
      <c r="T35" s="66" t="inlineStr"/>
    </row>
    <row r="36">
      <c r="A36" s="37" t="n">
        <v>29</v>
      </c>
      <c r="B36" s="31">
        <f>IF(INDEX(Klassenliste!$B$6:$B$40,29)=0,"",INDEX(Klassenliste!$B$6:$B$40,29))</f>
        <v/>
      </c>
      <c r="C36" s="31">
        <f>IF(INDEX(Klassenliste!$C$6:$C$40,29)=0,"",INDEX(Klassenliste!$C$6:$C$40,29))</f>
        <v/>
      </c>
      <c r="D36" s="49" t="inlineStr"/>
      <c r="E36" s="49" t="inlineStr"/>
      <c r="F36" s="49" t="inlineStr"/>
      <c r="G36" s="49" t="inlineStr"/>
      <c r="H36" s="49" t="inlineStr"/>
      <c r="I36" s="49" t="inlineStr"/>
      <c r="J36" s="49" t="inlineStr"/>
      <c r="K36" s="49" t="inlineStr"/>
      <c r="L36" s="49" t="inlineStr"/>
      <c r="M36" s="49" t="inlineStr"/>
      <c r="N36" s="49" t="inlineStr"/>
      <c r="O36" s="49" t="inlineStr"/>
      <c r="P36" s="47">
        <f>IF(COUNT(D36:O36)=0,"",SUM(D36:O36))</f>
        <v/>
      </c>
      <c r="Q36" s="65">
        <f>IF(P36="","",P36/$P$4)</f>
        <v/>
      </c>
      <c r="R36" s="50">
        <f>IF(Q36="","",LOOKUP(ROUND(Q36,6),Notentabelle!$C$4:$C$19,Notentabelle!$A$4:$A$19))</f>
        <v/>
      </c>
      <c r="S36" s="22">
        <f>IF(R36="","",INDEX(Notentabelle!$B$4:$B$19,R36+1))</f>
        <v/>
      </c>
      <c r="T36" s="66" t="inlineStr"/>
    </row>
    <row r="37">
      <c r="A37" s="37" t="n">
        <v>30</v>
      </c>
      <c r="B37" s="31">
        <f>IF(INDEX(Klassenliste!$B$6:$B$40,30)=0,"",INDEX(Klassenliste!$B$6:$B$40,30))</f>
        <v/>
      </c>
      <c r="C37" s="31">
        <f>IF(INDEX(Klassenliste!$C$6:$C$40,30)=0,"",INDEX(Klassenliste!$C$6:$C$40,30))</f>
        <v/>
      </c>
      <c r="D37" s="49" t="inlineStr"/>
      <c r="E37" s="49" t="inlineStr"/>
      <c r="F37" s="49" t="inlineStr"/>
      <c r="G37" s="49" t="inlineStr"/>
      <c r="H37" s="49" t="inlineStr"/>
      <c r="I37" s="49" t="inlineStr"/>
      <c r="J37" s="49" t="inlineStr"/>
      <c r="K37" s="49" t="inlineStr"/>
      <c r="L37" s="49" t="inlineStr"/>
      <c r="M37" s="49" t="inlineStr"/>
      <c r="N37" s="49" t="inlineStr"/>
      <c r="O37" s="49" t="inlineStr"/>
      <c r="P37" s="47">
        <f>IF(COUNT(D37:O37)=0,"",SUM(D37:O37))</f>
        <v/>
      </c>
      <c r="Q37" s="65">
        <f>IF(P37="","",P37/$P$4)</f>
        <v/>
      </c>
      <c r="R37" s="50">
        <f>IF(Q37="","",LOOKUP(ROUND(Q37,6),Notentabelle!$C$4:$C$19,Notentabelle!$A$4:$A$19))</f>
        <v/>
      </c>
      <c r="S37" s="22">
        <f>IF(R37="","",INDEX(Notentabelle!$B$4:$B$19,R37+1))</f>
        <v/>
      </c>
      <c r="T37" s="66" t="inlineStr"/>
    </row>
    <row r="38">
      <c r="A38" s="37" t="n">
        <v>31</v>
      </c>
      <c r="B38" s="31">
        <f>IF(INDEX(Klassenliste!$B$6:$B$40,31)=0,"",INDEX(Klassenliste!$B$6:$B$40,31))</f>
        <v/>
      </c>
      <c r="C38" s="31">
        <f>IF(INDEX(Klassenliste!$C$6:$C$40,31)=0,"",INDEX(Klassenliste!$C$6:$C$40,31))</f>
        <v/>
      </c>
      <c r="D38" s="49" t="inlineStr"/>
      <c r="E38" s="49" t="inlineStr"/>
      <c r="F38" s="49" t="inlineStr"/>
      <c r="G38" s="49" t="inlineStr"/>
      <c r="H38" s="49" t="inlineStr"/>
      <c r="I38" s="49" t="inlineStr"/>
      <c r="J38" s="49" t="inlineStr"/>
      <c r="K38" s="49" t="inlineStr"/>
      <c r="L38" s="49" t="inlineStr"/>
      <c r="M38" s="49" t="inlineStr"/>
      <c r="N38" s="49" t="inlineStr"/>
      <c r="O38" s="49" t="inlineStr"/>
      <c r="P38" s="47">
        <f>IF(COUNT(D38:O38)=0,"",SUM(D38:O38))</f>
        <v/>
      </c>
      <c r="Q38" s="65">
        <f>IF(P38="","",P38/$P$4)</f>
        <v/>
      </c>
      <c r="R38" s="50">
        <f>IF(Q38="","",LOOKUP(ROUND(Q38,6),Notentabelle!$C$4:$C$19,Notentabelle!$A$4:$A$19))</f>
        <v/>
      </c>
      <c r="S38" s="22">
        <f>IF(R38="","",INDEX(Notentabelle!$B$4:$B$19,R38+1))</f>
        <v/>
      </c>
      <c r="T38" s="66" t="inlineStr"/>
    </row>
    <row r="39">
      <c r="A39" s="37" t="n">
        <v>32</v>
      </c>
      <c r="B39" s="31">
        <f>IF(INDEX(Klassenliste!$B$6:$B$40,32)=0,"",INDEX(Klassenliste!$B$6:$B$40,32))</f>
        <v/>
      </c>
      <c r="C39" s="31">
        <f>IF(INDEX(Klassenliste!$C$6:$C$40,32)=0,"",INDEX(Klassenliste!$C$6:$C$40,32))</f>
        <v/>
      </c>
      <c r="D39" s="49" t="inlineStr"/>
      <c r="E39" s="49" t="inlineStr"/>
      <c r="F39" s="49" t="inlineStr"/>
      <c r="G39" s="49" t="inlineStr"/>
      <c r="H39" s="49" t="inlineStr"/>
      <c r="I39" s="49" t="inlineStr"/>
      <c r="J39" s="49" t="inlineStr"/>
      <c r="K39" s="49" t="inlineStr"/>
      <c r="L39" s="49" t="inlineStr"/>
      <c r="M39" s="49" t="inlineStr"/>
      <c r="N39" s="49" t="inlineStr"/>
      <c r="O39" s="49" t="inlineStr"/>
      <c r="P39" s="47">
        <f>IF(COUNT(D39:O39)=0,"",SUM(D39:O39))</f>
        <v/>
      </c>
      <c r="Q39" s="65">
        <f>IF(P39="","",P39/$P$4)</f>
        <v/>
      </c>
      <c r="R39" s="50">
        <f>IF(Q39="","",LOOKUP(ROUND(Q39,6),Notentabelle!$C$4:$C$19,Notentabelle!$A$4:$A$19))</f>
        <v/>
      </c>
      <c r="S39" s="22">
        <f>IF(R39="","",INDEX(Notentabelle!$B$4:$B$19,R39+1))</f>
        <v/>
      </c>
      <c r="T39" s="66" t="inlineStr"/>
    </row>
    <row r="40">
      <c r="A40" s="37" t="n">
        <v>33</v>
      </c>
      <c r="B40" s="31">
        <f>IF(INDEX(Klassenliste!$B$6:$B$40,33)=0,"",INDEX(Klassenliste!$B$6:$B$40,33))</f>
        <v/>
      </c>
      <c r="C40" s="31">
        <f>IF(INDEX(Klassenliste!$C$6:$C$40,33)=0,"",INDEX(Klassenliste!$C$6:$C$40,33))</f>
        <v/>
      </c>
      <c r="D40" s="49" t="inlineStr"/>
      <c r="E40" s="49" t="inlineStr"/>
      <c r="F40" s="49" t="inlineStr"/>
      <c r="G40" s="49" t="inlineStr"/>
      <c r="H40" s="49" t="inlineStr"/>
      <c r="I40" s="49" t="inlineStr"/>
      <c r="J40" s="49" t="inlineStr"/>
      <c r="K40" s="49" t="inlineStr"/>
      <c r="L40" s="49" t="inlineStr"/>
      <c r="M40" s="49" t="inlineStr"/>
      <c r="N40" s="49" t="inlineStr"/>
      <c r="O40" s="49" t="inlineStr"/>
      <c r="P40" s="47">
        <f>IF(COUNT(D40:O40)=0,"",SUM(D40:O40))</f>
        <v/>
      </c>
      <c r="Q40" s="65">
        <f>IF(P40="","",P40/$P$4)</f>
        <v/>
      </c>
      <c r="R40" s="50">
        <f>IF(Q40="","",LOOKUP(ROUND(Q40,6),Notentabelle!$C$4:$C$19,Notentabelle!$A$4:$A$19))</f>
        <v/>
      </c>
      <c r="S40" s="22">
        <f>IF(R40="","",INDEX(Notentabelle!$B$4:$B$19,R40+1))</f>
        <v/>
      </c>
      <c r="T40" s="66" t="inlineStr"/>
    </row>
    <row r="41">
      <c r="A41" s="37" t="n">
        <v>34</v>
      </c>
      <c r="B41" s="31">
        <f>IF(INDEX(Klassenliste!$B$6:$B$40,34)=0,"",INDEX(Klassenliste!$B$6:$B$40,34))</f>
        <v/>
      </c>
      <c r="C41" s="31">
        <f>IF(INDEX(Klassenliste!$C$6:$C$40,34)=0,"",INDEX(Klassenliste!$C$6:$C$40,34))</f>
        <v/>
      </c>
      <c r="D41" s="49" t="inlineStr"/>
      <c r="E41" s="49" t="inlineStr"/>
      <c r="F41" s="49" t="inlineStr"/>
      <c r="G41" s="49" t="inlineStr"/>
      <c r="H41" s="49" t="inlineStr"/>
      <c r="I41" s="49" t="inlineStr"/>
      <c r="J41" s="49" t="inlineStr"/>
      <c r="K41" s="49" t="inlineStr"/>
      <c r="L41" s="49" t="inlineStr"/>
      <c r="M41" s="49" t="inlineStr"/>
      <c r="N41" s="49" t="inlineStr"/>
      <c r="O41" s="49" t="inlineStr"/>
      <c r="P41" s="47">
        <f>IF(COUNT(D41:O41)=0,"",SUM(D41:O41))</f>
        <v/>
      </c>
      <c r="Q41" s="65">
        <f>IF(P41="","",P41/$P$4)</f>
        <v/>
      </c>
      <c r="R41" s="50">
        <f>IF(Q41="","",LOOKUP(ROUND(Q41,6),Notentabelle!$C$4:$C$19,Notentabelle!$A$4:$A$19))</f>
        <v/>
      </c>
      <c r="S41" s="22">
        <f>IF(R41="","",INDEX(Notentabelle!$B$4:$B$19,R41+1))</f>
        <v/>
      </c>
      <c r="T41" s="66" t="inlineStr"/>
    </row>
    <row r="42">
      <c r="A42" s="37" t="n">
        <v>35</v>
      </c>
      <c r="B42" s="31">
        <f>IF(INDEX(Klassenliste!$B$6:$B$40,35)=0,"",INDEX(Klassenliste!$B$6:$B$40,35))</f>
        <v/>
      </c>
      <c r="C42" s="31">
        <f>IF(INDEX(Klassenliste!$C$6:$C$40,35)=0,"",INDEX(Klassenliste!$C$6:$C$40,35))</f>
        <v/>
      </c>
      <c r="D42" s="49" t="inlineStr"/>
      <c r="E42" s="49" t="inlineStr"/>
      <c r="F42" s="49" t="inlineStr"/>
      <c r="G42" s="49" t="inlineStr"/>
      <c r="H42" s="49" t="inlineStr"/>
      <c r="I42" s="49" t="inlineStr"/>
      <c r="J42" s="49" t="inlineStr"/>
      <c r="K42" s="49" t="inlineStr"/>
      <c r="L42" s="49" t="inlineStr"/>
      <c r="M42" s="49" t="inlineStr"/>
      <c r="N42" s="49" t="inlineStr"/>
      <c r="O42" s="49" t="inlineStr"/>
      <c r="P42" s="47">
        <f>IF(COUNT(D42:O42)=0,"",SUM(D42:O42))</f>
        <v/>
      </c>
      <c r="Q42" s="65">
        <f>IF(P42="","",P42/$P$4)</f>
        <v/>
      </c>
      <c r="R42" s="50">
        <f>IF(Q42="","",LOOKUP(ROUND(Q42,6),Notentabelle!$C$4:$C$19,Notentabelle!$A$4:$A$19))</f>
        <v/>
      </c>
      <c r="S42" s="22">
        <f>IF(R42="","",INDEX(Notentabelle!$B$4:$B$19,R42+1))</f>
        <v/>
      </c>
      <c r="T42" s="66" t="inlineStr"/>
    </row>
    <row r="45">
      <c r="B45" s="53" t="inlineStr">
        <is>
          <t>Notenspiegel</t>
        </is>
      </c>
      <c r="D45" s="17" t="n">
        <v>15</v>
      </c>
      <c r="E45" s="17" t="n">
        <v>14</v>
      </c>
      <c r="F45" s="17" t="n">
        <v>13</v>
      </c>
      <c r="G45" s="17" t="n">
        <v>12</v>
      </c>
      <c r="H45" s="17" t="n">
        <v>11</v>
      </c>
      <c r="I45" s="17" t="n">
        <v>10</v>
      </c>
      <c r="J45" s="17" t="n">
        <v>9</v>
      </c>
      <c r="K45" s="17" t="n">
        <v>8</v>
      </c>
      <c r="L45" s="17" t="n">
        <v>7</v>
      </c>
      <c r="M45" s="17" t="n">
        <v>6</v>
      </c>
      <c r="N45" s="17" t="n">
        <v>5</v>
      </c>
      <c r="O45" s="17" t="n">
        <v>4</v>
      </c>
      <c r="P45" s="17" t="n">
        <v>3</v>
      </c>
      <c r="Q45" s="17" t="n">
        <v>2</v>
      </c>
      <c r="R45" s="17" t="n">
        <v>1</v>
      </c>
      <c r="S45" s="17" t="n">
        <v>0</v>
      </c>
    </row>
    <row r="46">
      <c r="D46" s="19">
        <f>COUNTIF($R$8:$R$42,15)</f>
        <v/>
      </c>
      <c r="E46" s="19">
        <f>COUNTIF($R$8:$R$42,14)</f>
        <v/>
      </c>
      <c r="F46" s="19">
        <f>COUNTIF($R$8:$R$42,13)</f>
        <v/>
      </c>
      <c r="G46" s="19">
        <f>COUNTIF($R$8:$R$42,12)</f>
        <v/>
      </c>
      <c r="H46" s="19">
        <f>COUNTIF($R$8:$R$42,11)</f>
        <v/>
      </c>
      <c r="I46" s="19">
        <f>COUNTIF($R$8:$R$42,10)</f>
        <v/>
      </c>
      <c r="J46" s="19">
        <f>COUNTIF($R$8:$R$42,9)</f>
        <v/>
      </c>
      <c r="K46" s="19">
        <f>COUNTIF($R$8:$R$42,8)</f>
        <v/>
      </c>
      <c r="L46" s="19">
        <f>COUNTIF($R$8:$R$42,7)</f>
        <v/>
      </c>
      <c r="M46" s="19">
        <f>COUNTIF($R$8:$R$42,6)</f>
        <v/>
      </c>
      <c r="N46" s="19">
        <f>COUNTIF($R$8:$R$42,5)</f>
        <v/>
      </c>
      <c r="O46" s="19">
        <f>COUNTIF($R$8:$R$42,4)</f>
        <v/>
      </c>
      <c r="P46" s="19">
        <f>COUNTIF($R$8:$R$42,3)</f>
        <v/>
      </c>
      <c r="Q46" s="19">
        <f>COUNTIF($R$8:$R$42,2)</f>
        <v/>
      </c>
      <c r="R46" s="19">
        <f>COUNTIF($R$8:$R$42,1)</f>
        <v/>
      </c>
      <c r="S46" s="19">
        <f>COUNTIF($R$8:$R$42,0)</f>
        <v/>
      </c>
    </row>
    <row r="47">
      <c r="D47" s="53" t="inlineStr">
        <is>
          <t>Defizite (unter 5 P):</t>
        </is>
      </c>
      <c r="G47" s="19">
        <f>COUNTIF($R$8:$R$42,"&lt;5")</f>
        <v/>
      </c>
      <c r="I47" s="53" t="inlineStr">
        <is>
          <t>Ø Punkte:</t>
        </is>
      </c>
      <c r="K47" s="67">
        <f>IFERROR(ROUND(AVERAGE(R8:R42),1),"")</f>
        <v/>
      </c>
    </row>
    <row r="48">
      <c r="B48" s="53" t="inlineStr">
        <is>
          <t>nach Noten</t>
        </is>
      </c>
      <c r="D48" s="17" t="inlineStr">
        <is>
          <t>Note 1</t>
        </is>
      </c>
      <c r="E48" s="17" t="inlineStr">
        <is>
          <t>Note 2</t>
        </is>
      </c>
      <c r="F48" s="17" t="inlineStr">
        <is>
          <t>Note 3</t>
        </is>
      </c>
      <c r="G48" s="17" t="inlineStr">
        <is>
          <t>Note 4</t>
        </is>
      </c>
      <c r="H48" s="17" t="inlineStr">
        <is>
          <t>Note 5</t>
        </is>
      </c>
      <c r="I48" s="17" t="inlineStr">
        <is>
          <t>Note 6</t>
        </is>
      </c>
    </row>
    <row r="49">
      <c r="D49" s="19">
        <f>COUNTIF($R$8:$R$42,"&gt;=13")</f>
        <v/>
      </c>
      <c r="E49" s="19">
        <f>COUNTIFS($R$8:$R$42,"&gt;=10",$R$8:$R$42,"&lt;=12")</f>
        <v/>
      </c>
      <c r="F49" s="19">
        <f>COUNTIFS($R$8:$R$42,"&gt;=7",$R$8:$R$42,"&lt;=9")</f>
        <v/>
      </c>
      <c r="G49" s="19">
        <f>COUNTIFS($R$8:$R$42,"&gt;=4",$R$8:$R$42,"&lt;=6")</f>
        <v/>
      </c>
      <c r="H49" s="19">
        <f>COUNTIFS($R$8:$R$42,"&gt;=1",$R$8:$R$42,"&lt;=3")</f>
        <v/>
      </c>
      <c r="I49" s="19">
        <f>COUNTIF($R$8:$R$42,0)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L2:S2"/>
    <mergeCell ref="C2:G2"/>
    <mergeCell ref="J2:K2"/>
    <mergeCell ref="A1:R1"/>
  </mergeCells>
  <conditionalFormatting sqref="D46:S46">
    <cfRule type="dataBar" priority="1">
      <dataBar showValue="1">
        <cfvo type="num" val="0"/>
        <cfvo type="max"/>
        <color rgb="0035596E"/>
      </dataBar>
    </cfRule>
  </conditionalFormatting>
  <conditionalFormatting sqref="D49:I49">
    <cfRule type="dataBar" priority="2">
      <dataBar showValue="1">
        <cfvo type="num" val="0"/>
        <cfvo type="max"/>
        <color rgb="0035596E"/>
      </dataBar>
    </cfRule>
  </conditionalFormatting>
  <conditionalFormatting sqref="A8:S42">
    <cfRule type="expression" priority="3" dxfId="1" stopIfTrue="1">
      <formula>$B8=""</formula>
    </cfRule>
  </conditionalFormatting>
  <conditionalFormatting sqref="D8:O42">
    <cfRule type="expression" priority="4" dxfId="5">
      <formula>AND(D8&lt;&gt;"",OR(NOT(ISNUMBER(D8)),D8&lt;0,D$4="",AND(ISNUMBER(D$4),D8&gt;D$4)))</formula>
    </cfRule>
    <cfRule type="expression" priority="8" dxfId="6">
      <formula>D$4=""</formula>
    </cfRule>
  </conditionalFormatting>
  <conditionalFormatting sqref="D4:O4">
    <cfRule type="expression" priority="5" dxfId="5">
      <formula>AND(D4&lt;&gt;"",NOT(ISNUMBER(D4)))</formula>
    </cfRule>
  </conditionalFormatting>
  <conditionalFormatting sqref="Q8:Q42">
    <cfRule type="expression" priority="6" dxfId="5">
      <formula>AND(ISNUMBER(Q8),OR(Q8&gt;1,Q8&lt;0))</formula>
    </cfRule>
  </conditionalFormatting>
  <conditionalFormatting sqref="R8:R42">
    <cfRule type="expression" priority="7" dxfId="2">
      <formula>AND(ISNUMBER(R8),R8&lt;5)</formula>
    </cfRule>
  </conditionalFormatting>
  <conditionalFormatting sqref="D3:O3">
    <cfRule type="expression" priority="9" dxfId="6">
      <formula>D$4=""</formula>
    </cfRule>
  </conditionalFormatting>
  <dataValidations count="2">
    <dataValidation sqref="D4:O4" showDropDown="0" showInputMessage="0" showErrorMessage="1" allowBlank="1" errorTitle="Ungültige Maximalpunkte" error="Bitte eine Zahl zwischen 0 und 999 eintragen." type="decimal" operator="between">
      <formula1>0</formula1>
      <formula2>999</formula2>
    </dataValidation>
    <dataValidation sqref="D8:O42" showDropDown="0" showInputMessage="0" showErrorMessage="1" allowBlank="1" errorTitle="Ungültige Punktzahl" error="Nur Zahlen von 0 bis zur Maximalpunktzahl dieser Aufgabe." type="custom">
      <formula1>AND(ISNUMBER(D8),D8&gt;=0,D8&lt;=D$4)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tabColor rgb="00D8DDE0"/>
    <outlinePr summaryBelow="1" summaryRight="1"/>
    <pageSetUpPr fitToPage="1"/>
  </sheetPr>
  <dimension ref="A1:T49"/>
  <sheetViews>
    <sheetView showGridLines="0" zoomScale="10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7" customWidth="1" min="16" max="16"/>
    <col width="8" customWidth="1" min="17" max="17"/>
    <col width="8" customWidth="1" min="18" max="18"/>
    <col width="12" customWidth="1" min="19" max="19"/>
    <col width="48" customWidth="1" min="20" max="20"/>
  </cols>
  <sheetData>
    <row r="1" ht="26" customHeight="1">
      <c r="A1" s="1" t="inlineStr">
        <is>
          <t>Klausur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8">
        <f>HYPERLINK("#Start!A1","⌂")</f>
        <v/>
      </c>
    </row>
    <row r="2">
      <c r="B2" s="53" t="inlineStr">
        <is>
          <t>Thema:</t>
        </is>
      </c>
      <c r="C2" s="11" t="inlineStr"/>
      <c r="D2" s="54" t="n"/>
      <c r="E2" s="54" t="n"/>
      <c r="F2" s="54" t="n"/>
      <c r="G2" s="54" t="n"/>
      <c r="I2" s="53" t="inlineStr">
        <is>
          <t>Datum:</t>
        </is>
      </c>
      <c r="J2" s="24" t="inlineStr"/>
      <c r="K2" s="55" t="n"/>
      <c r="L2" s="12">
        <f>Klassenliste!$E$2&amp;"  ·  "&amp;Klassenliste!$J$2&amp;"  ·  "&amp;Klassenliste!$H$2&amp;""</f>
        <v/>
      </c>
    </row>
    <row r="3">
      <c r="C3" s="18" t="inlineStr">
        <is>
          <t>Aufgabe</t>
        </is>
      </c>
      <c r="D3" s="56" t="inlineStr">
        <is>
          <t>A1</t>
        </is>
      </c>
      <c r="E3" s="56" t="inlineStr">
        <is>
          <t>A2</t>
        </is>
      </c>
      <c r="F3" s="56" t="inlineStr">
        <is>
          <t>A3</t>
        </is>
      </c>
      <c r="G3" s="56" t="inlineStr">
        <is>
          <t>A4</t>
        </is>
      </c>
      <c r="H3" s="56" t="inlineStr">
        <is>
          <t>A5</t>
        </is>
      </c>
      <c r="I3" s="56" t="inlineStr">
        <is>
          <t>A6</t>
        </is>
      </c>
      <c r="J3" s="56" t="inlineStr">
        <is>
          <t>A7</t>
        </is>
      </c>
      <c r="K3" s="56" t="inlineStr">
        <is>
          <t>A8</t>
        </is>
      </c>
      <c r="L3" s="56" t="inlineStr">
        <is>
          <t>A9</t>
        </is>
      </c>
      <c r="M3" s="56" t="inlineStr">
        <is>
          <t>A10</t>
        </is>
      </c>
      <c r="N3" s="56" t="inlineStr">
        <is>
          <t>A11</t>
        </is>
      </c>
      <c r="O3" s="56" t="inlineStr">
        <is>
          <t>A12</t>
        </is>
      </c>
      <c r="P3" s="45" t="inlineStr">
        <is>
          <t>Ges.</t>
        </is>
      </c>
    </row>
    <row r="4">
      <c r="C4" s="18" t="inlineStr">
        <is>
          <t>max. Punkte</t>
        </is>
      </c>
      <c r="D4" s="57" t="inlineStr"/>
      <c r="E4" s="57" t="inlineStr"/>
      <c r="F4" s="57" t="inlineStr"/>
      <c r="G4" s="57" t="inlineStr"/>
      <c r="H4" s="57" t="inlineStr"/>
      <c r="I4" s="57" t="inlineStr"/>
      <c r="J4" s="57" t="inlineStr"/>
      <c r="K4" s="57" t="inlineStr"/>
      <c r="L4" s="57" t="inlineStr"/>
      <c r="M4" s="57" t="inlineStr"/>
      <c r="N4" s="57" t="inlineStr"/>
      <c r="O4" s="57" t="inlineStr"/>
      <c r="P4" s="58">
        <f>IF(COUNT(D4:O4)=0,"",SUM(D4:O4))</f>
        <v/>
      </c>
    </row>
    <row r="5">
      <c r="C5" s="18" t="inlineStr">
        <is>
          <t>Schnitt</t>
        </is>
      </c>
      <c r="D5" s="59">
        <f>IF(D$4="","",IFERROR(ROUND(AVERAGE(D8:D42),2),""))</f>
        <v/>
      </c>
      <c r="E5" s="59">
        <f>IF(E$4="","",IFERROR(ROUND(AVERAGE(E8:E42),2),""))</f>
        <v/>
      </c>
      <c r="F5" s="59">
        <f>IF(F$4="","",IFERROR(ROUND(AVERAGE(F8:F42),2),""))</f>
        <v/>
      </c>
      <c r="G5" s="59">
        <f>IF(G$4="","",IFERROR(ROUND(AVERAGE(G8:G42),2),""))</f>
        <v/>
      </c>
      <c r="H5" s="59">
        <f>IF(H$4="","",IFERROR(ROUND(AVERAGE(H8:H42),2),""))</f>
        <v/>
      </c>
      <c r="I5" s="59">
        <f>IF(I$4="","",IFERROR(ROUND(AVERAGE(I8:I42),2),""))</f>
        <v/>
      </c>
      <c r="J5" s="59">
        <f>IF(J$4="","",IFERROR(ROUND(AVERAGE(J8:J42),2),""))</f>
        <v/>
      </c>
      <c r="K5" s="59">
        <f>IF(K$4="","",IFERROR(ROUND(AVERAGE(K8:K42),2),""))</f>
        <v/>
      </c>
      <c r="L5" s="59">
        <f>IF(L$4="","",IFERROR(ROUND(AVERAGE(L8:L42),2),""))</f>
        <v/>
      </c>
      <c r="M5" s="59">
        <f>IF(M$4="","",IFERROR(ROUND(AVERAGE(M8:M42),2),""))</f>
        <v/>
      </c>
      <c r="N5" s="59">
        <f>IF(N$4="","",IFERROR(ROUND(AVERAGE(N8:N42),2),""))</f>
        <v/>
      </c>
      <c r="O5" s="59">
        <f>IF(O$4="","",IFERROR(ROUND(AVERAGE(O8:O42),2),""))</f>
        <v/>
      </c>
      <c r="P5" s="60">
        <f>IFERROR(ROUND(AVERAGE(P8:P42),2),"")</f>
        <v/>
      </c>
    </row>
    <row r="6">
      <c r="A6" s="61" t="n"/>
      <c r="B6" s="61" t="n"/>
      <c r="C6" s="62" t="inlineStr">
        <is>
          <t>Schnitt %</t>
        </is>
      </c>
      <c r="D6" s="63">
        <f>IF(D$4="","",IFERROR(D5/D$4,""))</f>
        <v/>
      </c>
      <c r="E6" s="63">
        <f>IF(E$4="","",IFERROR(E5/E$4,""))</f>
        <v/>
      </c>
      <c r="F6" s="63">
        <f>IF(F$4="","",IFERROR(F5/F$4,""))</f>
        <v/>
      </c>
      <c r="G6" s="63">
        <f>IF(G$4="","",IFERROR(G5/G$4,""))</f>
        <v/>
      </c>
      <c r="H6" s="63">
        <f>IF(H$4="","",IFERROR(H5/H$4,""))</f>
        <v/>
      </c>
      <c r="I6" s="63">
        <f>IF(I$4="","",IFERROR(I5/I$4,""))</f>
        <v/>
      </c>
      <c r="J6" s="63">
        <f>IF(J$4="","",IFERROR(J5/J$4,""))</f>
        <v/>
      </c>
      <c r="K6" s="63">
        <f>IF(K$4="","",IFERROR(K5/K$4,""))</f>
        <v/>
      </c>
      <c r="L6" s="63">
        <f>IF(L$4="","",IFERROR(L5/L$4,""))</f>
        <v/>
      </c>
      <c r="M6" s="63">
        <f>IF(M$4="","",IFERROR(M5/M$4,""))</f>
        <v/>
      </c>
      <c r="N6" s="63">
        <f>IF(N$4="","",IFERROR(N5/N$4,""))</f>
        <v/>
      </c>
      <c r="O6" s="63">
        <f>IF(O$4="","",IFERROR(O5/O$4,""))</f>
        <v/>
      </c>
      <c r="P6" s="64">
        <f>IFERROR(P5/P4,"")</f>
        <v/>
      </c>
      <c r="Q6" s="61" t="n"/>
      <c r="R6" s="61" t="n"/>
      <c r="S6" s="61" t="n"/>
    </row>
    <row r="7" ht="18" customHeight="1">
      <c r="A7" s="17" t="inlineStr">
        <is>
          <t>Nr</t>
        </is>
      </c>
      <c r="B7" s="18" t="inlineStr">
        <is>
          <t>Name</t>
        </is>
      </c>
      <c r="C7" s="18" t="inlineStr">
        <is>
          <t>Vorname</t>
        </is>
      </c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45" t="inlineStr">
        <is>
          <t>Ges.</t>
        </is>
      </c>
      <c r="Q7" s="17" t="inlineStr">
        <is>
          <t>%</t>
        </is>
      </c>
      <c r="R7" s="17" t="inlineStr">
        <is>
          <t>Punkte</t>
        </is>
      </c>
      <c r="S7" s="17" t="inlineStr">
        <is>
          <t>Note</t>
        </is>
      </c>
      <c r="T7" s="18" t="inlineStr">
        <is>
          <t>Lob / Hinweis</t>
        </is>
      </c>
    </row>
    <row r="8">
      <c r="A8" s="37" t="n">
        <v>1</v>
      </c>
      <c r="B8" s="31">
        <f>IF(INDEX(Klassenliste!$B$6:$B$40,1)=0,"",INDEX(Klassenliste!$B$6:$B$40,1))</f>
        <v/>
      </c>
      <c r="C8" s="31">
        <f>IF(INDEX(Klassenliste!$C$6:$C$40,1)=0,"",INDEX(Klassenliste!$C$6:$C$40,1))</f>
        <v/>
      </c>
      <c r="D8" s="49" t="inlineStr"/>
      <c r="E8" s="49" t="inlineStr"/>
      <c r="F8" s="49" t="inlineStr"/>
      <c r="G8" s="49" t="inlineStr"/>
      <c r="H8" s="49" t="inlineStr"/>
      <c r="I8" s="49" t="inlineStr"/>
      <c r="J8" s="49" t="inlineStr"/>
      <c r="K8" s="49" t="inlineStr"/>
      <c r="L8" s="49" t="inlineStr"/>
      <c r="M8" s="49" t="inlineStr"/>
      <c r="N8" s="49" t="inlineStr"/>
      <c r="O8" s="49" t="inlineStr"/>
      <c r="P8" s="47">
        <f>IF(COUNT(D8:O8)=0,"",SUM(D8:O8))</f>
        <v/>
      </c>
      <c r="Q8" s="65">
        <f>IF(P8="","",P8/$P$4)</f>
        <v/>
      </c>
      <c r="R8" s="50">
        <f>IF(Q8="","",LOOKUP(ROUND(Q8,6),Notentabelle!$C$4:$C$19,Notentabelle!$A$4:$A$19))</f>
        <v/>
      </c>
      <c r="S8" s="22">
        <f>IF(R8="","",INDEX(Notentabelle!$B$4:$B$19,R8+1))</f>
        <v/>
      </c>
      <c r="T8" s="66" t="inlineStr"/>
    </row>
    <row r="9">
      <c r="A9" s="37" t="n">
        <v>2</v>
      </c>
      <c r="B9" s="31">
        <f>IF(INDEX(Klassenliste!$B$6:$B$40,2)=0,"",INDEX(Klassenliste!$B$6:$B$40,2))</f>
        <v/>
      </c>
      <c r="C9" s="31">
        <f>IF(INDEX(Klassenliste!$C$6:$C$40,2)=0,"",INDEX(Klassenliste!$C$6:$C$40,2))</f>
        <v/>
      </c>
      <c r="D9" s="49" t="inlineStr"/>
      <c r="E9" s="49" t="inlineStr"/>
      <c r="F9" s="49" t="inlineStr"/>
      <c r="G9" s="49" t="inlineStr"/>
      <c r="H9" s="49" t="inlineStr"/>
      <c r="I9" s="49" t="inlineStr"/>
      <c r="J9" s="49" t="inlineStr"/>
      <c r="K9" s="49" t="inlineStr"/>
      <c r="L9" s="49" t="inlineStr"/>
      <c r="M9" s="49" t="inlineStr"/>
      <c r="N9" s="49" t="inlineStr"/>
      <c r="O9" s="49" t="inlineStr"/>
      <c r="P9" s="47">
        <f>IF(COUNT(D9:O9)=0,"",SUM(D9:O9))</f>
        <v/>
      </c>
      <c r="Q9" s="65">
        <f>IF(P9="","",P9/$P$4)</f>
        <v/>
      </c>
      <c r="R9" s="50">
        <f>IF(Q9="","",LOOKUP(ROUND(Q9,6),Notentabelle!$C$4:$C$19,Notentabelle!$A$4:$A$19))</f>
        <v/>
      </c>
      <c r="S9" s="22">
        <f>IF(R9="","",INDEX(Notentabelle!$B$4:$B$19,R9+1))</f>
        <v/>
      </c>
      <c r="T9" s="66" t="inlineStr"/>
    </row>
    <row r="10">
      <c r="A10" s="37" t="n">
        <v>3</v>
      </c>
      <c r="B10" s="31">
        <f>IF(INDEX(Klassenliste!$B$6:$B$40,3)=0,"",INDEX(Klassenliste!$B$6:$B$40,3))</f>
        <v/>
      </c>
      <c r="C10" s="31">
        <f>IF(INDEX(Klassenliste!$C$6:$C$40,3)=0,"",INDEX(Klassenliste!$C$6:$C$40,3))</f>
        <v/>
      </c>
      <c r="D10" s="49" t="inlineStr"/>
      <c r="E10" s="49" t="inlineStr"/>
      <c r="F10" s="49" t="inlineStr"/>
      <c r="G10" s="49" t="inlineStr"/>
      <c r="H10" s="49" t="inlineStr"/>
      <c r="I10" s="49" t="inlineStr"/>
      <c r="J10" s="49" t="inlineStr"/>
      <c r="K10" s="49" t="inlineStr"/>
      <c r="L10" s="49" t="inlineStr"/>
      <c r="M10" s="49" t="inlineStr"/>
      <c r="N10" s="49" t="inlineStr"/>
      <c r="O10" s="49" t="inlineStr"/>
      <c r="P10" s="47">
        <f>IF(COUNT(D10:O10)=0,"",SUM(D10:O10))</f>
        <v/>
      </c>
      <c r="Q10" s="65">
        <f>IF(P10="","",P10/$P$4)</f>
        <v/>
      </c>
      <c r="R10" s="50">
        <f>IF(Q10="","",LOOKUP(ROUND(Q10,6),Notentabelle!$C$4:$C$19,Notentabelle!$A$4:$A$19))</f>
        <v/>
      </c>
      <c r="S10" s="22">
        <f>IF(R10="","",INDEX(Notentabelle!$B$4:$B$19,R10+1))</f>
        <v/>
      </c>
      <c r="T10" s="66" t="inlineStr"/>
    </row>
    <row r="11">
      <c r="A11" s="37" t="n">
        <v>4</v>
      </c>
      <c r="B11" s="31">
        <f>IF(INDEX(Klassenliste!$B$6:$B$40,4)=0,"",INDEX(Klassenliste!$B$6:$B$40,4))</f>
        <v/>
      </c>
      <c r="C11" s="31">
        <f>IF(INDEX(Klassenliste!$C$6:$C$40,4)=0,"",INDEX(Klassenliste!$C$6:$C$40,4))</f>
        <v/>
      </c>
      <c r="D11" s="49" t="inlineStr"/>
      <c r="E11" s="49" t="inlineStr"/>
      <c r="F11" s="49" t="inlineStr"/>
      <c r="G11" s="49" t="inlineStr"/>
      <c r="H11" s="49" t="inlineStr"/>
      <c r="I11" s="49" t="inlineStr"/>
      <c r="J11" s="49" t="inlineStr"/>
      <c r="K11" s="49" t="inlineStr"/>
      <c r="L11" s="49" t="inlineStr"/>
      <c r="M11" s="49" t="inlineStr"/>
      <c r="N11" s="49" t="inlineStr"/>
      <c r="O11" s="49" t="inlineStr"/>
      <c r="P11" s="47">
        <f>IF(COUNT(D11:O11)=0,"",SUM(D11:O11))</f>
        <v/>
      </c>
      <c r="Q11" s="65">
        <f>IF(P11="","",P11/$P$4)</f>
        <v/>
      </c>
      <c r="R11" s="50">
        <f>IF(Q11="","",LOOKUP(ROUND(Q11,6),Notentabelle!$C$4:$C$19,Notentabelle!$A$4:$A$19))</f>
        <v/>
      </c>
      <c r="S11" s="22">
        <f>IF(R11="","",INDEX(Notentabelle!$B$4:$B$19,R11+1))</f>
        <v/>
      </c>
      <c r="T11" s="66" t="inlineStr"/>
    </row>
    <row r="12">
      <c r="A12" s="37" t="n">
        <v>5</v>
      </c>
      <c r="B12" s="31">
        <f>IF(INDEX(Klassenliste!$B$6:$B$40,5)=0,"",INDEX(Klassenliste!$B$6:$B$40,5))</f>
        <v/>
      </c>
      <c r="C12" s="31">
        <f>IF(INDEX(Klassenliste!$C$6:$C$40,5)=0,"",INDEX(Klassenliste!$C$6:$C$40,5))</f>
        <v/>
      </c>
      <c r="D12" s="49" t="inlineStr"/>
      <c r="E12" s="49" t="inlineStr"/>
      <c r="F12" s="49" t="inlineStr"/>
      <c r="G12" s="49" t="inlineStr"/>
      <c r="H12" s="49" t="inlineStr"/>
      <c r="I12" s="49" t="inlineStr"/>
      <c r="J12" s="49" t="inlineStr"/>
      <c r="K12" s="49" t="inlineStr"/>
      <c r="L12" s="49" t="inlineStr"/>
      <c r="M12" s="49" t="inlineStr"/>
      <c r="N12" s="49" t="inlineStr"/>
      <c r="O12" s="49" t="inlineStr"/>
      <c r="P12" s="47">
        <f>IF(COUNT(D12:O12)=0,"",SUM(D12:O12))</f>
        <v/>
      </c>
      <c r="Q12" s="65">
        <f>IF(P12="","",P12/$P$4)</f>
        <v/>
      </c>
      <c r="R12" s="50">
        <f>IF(Q12="","",LOOKUP(ROUND(Q12,6),Notentabelle!$C$4:$C$19,Notentabelle!$A$4:$A$19))</f>
        <v/>
      </c>
      <c r="S12" s="22">
        <f>IF(R12="","",INDEX(Notentabelle!$B$4:$B$19,R12+1))</f>
        <v/>
      </c>
      <c r="T12" s="66" t="inlineStr"/>
    </row>
    <row r="13">
      <c r="A13" s="37" t="n">
        <v>6</v>
      </c>
      <c r="B13" s="31">
        <f>IF(INDEX(Klassenliste!$B$6:$B$40,6)=0,"",INDEX(Klassenliste!$B$6:$B$40,6))</f>
        <v/>
      </c>
      <c r="C13" s="31">
        <f>IF(INDEX(Klassenliste!$C$6:$C$40,6)=0,"",INDEX(Klassenliste!$C$6:$C$40,6))</f>
        <v/>
      </c>
      <c r="D13" s="49" t="inlineStr"/>
      <c r="E13" s="49" t="inlineStr"/>
      <c r="F13" s="49" t="inlineStr"/>
      <c r="G13" s="49" t="inlineStr"/>
      <c r="H13" s="49" t="inlineStr"/>
      <c r="I13" s="49" t="inlineStr"/>
      <c r="J13" s="49" t="inlineStr"/>
      <c r="K13" s="49" t="inlineStr"/>
      <c r="L13" s="49" t="inlineStr"/>
      <c r="M13" s="49" t="inlineStr"/>
      <c r="N13" s="49" t="inlineStr"/>
      <c r="O13" s="49" t="inlineStr"/>
      <c r="P13" s="47">
        <f>IF(COUNT(D13:O13)=0,"",SUM(D13:O13))</f>
        <v/>
      </c>
      <c r="Q13" s="65">
        <f>IF(P13="","",P13/$P$4)</f>
        <v/>
      </c>
      <c r="R13" s="50">
        <f>IF(Q13="","",LOOKUP(ROUND(Q13,6),Notentabelle!$C$4:$C$19,Notentabelle!$A$4:$A$19))</f>
        <v/>
      </c>
      <c r="S13" s="22">
        <f>IF(R13="","",INDEX(Notentabelle!$B$4:$B$19,R13+1))</f>
        <v/>
      </c>
      <c r="T13" s="66" t="inlineStr"/>
    </row>
    <row r="14">
      <c r="A14" s="37" t="n">
        <v>7</v>
      </c>
      <c r="B14" s="31">
        <f>IF(INDEX(Klassenliste!$B$6:$B$40,7)=0,"",INDEX(Klassenliste!$B$6:$B$40,7))</f>
        <v/>
      </c>
      <c r="C14" s="31">
        <f>IF(INDEX(Klassenliste!$C$6:$C$40,7)=0,"",INDEX(Klassenliste!$C$6:$C$40,7))</f>
        <v/>
      </c>
      <c r="D14" s="49" t="inlineStr"/>
      <c r="E14" s="49" t="inlineStr"/>
      <c r="F14" s="49" t="inlineStr"/>
      <c r="G14" s="49" t="inlineStr"/>
      <c r="H14" s="49" t="inlineStr"/>
      <c r="I14" s="49" t="inlineStr"/>
      <c r="J14" s="49" t="inlineStr"/>
      <c r="K14" s="49" t="inlineStr"/>
      <c r="L14" s="49" t="inlineStr"/>
      <c r="M14" s="49" t="inlineStr"/>
      <c r="N14" s="49" t="inlineStr"/>
      <c r="O14" s="49" t="inlineStr"/>
      <c r="P14" s="47">
        <f>IF(COUNT(D14:O14)=0,"",SUM(D14:O14))</f>
        <v/>
      </c>
      <c r="Q14" s="65">
        <f>IF(P14="","",P14/$P$4)</f>
        <v/>
      </c>
      <c r="R14" s="50">
        <f>IF(Q14="","",LOOKUP(ROUND(Q14,6),Notentabelle!$C$4:$C$19,Notentabelle!$A$4:$A$19))</f>
        <v/>
      </c>
      <c r="S14" s="22">
        <f>IF(R14="","",INDEX(Notentabelle!$B$4:$B$19,R14+1))</f>
        <v/>
      </c>
      <c r="T14" s="66" t="inlineStr"/>
    </row>
    <row r="15">
      <c r="A15" s="37" t="n">
        <v>8</v>
      </c>
      <c r="B15" s="31">
        <f>IF(INDEX(Klassenliste!$B$6:$B$40,8)=0,"",INDEX(Klassenliste!$B$6:$B$40,8))</f>
        <v/>
      </c>
      <c r="C15" s="31">
        <f>IF(INDEX(Klassenliste!$C$6:$C$40,8)=0,"",INDEX(Klassenliste!$C$6:$C$40,8))</f>
        <v/>
      </c>
      <c r="D15" s="49" t="inlineStr"/>
      <c r="E15" s="49" t="inlineStr"/>
      <c r="F15" s="49" t="inlineStr"/>
      <c r="G15" s="49" t="inlineStr"/>
      <c r="H15" s="49" t="inlineStr"/>
      <c r="I15" s="49" t="inlineStr"/>
      <c r="J15" s="49" t="inlineStr"/>
      <c r="K15" s="49" t="inlineStr"/>
      <c r="L15" s="49" t="inlineStr"/>
      <c r="M15" s="49" t="inlineStr"/>
      <c r="N15" s="49" t="inlineStr"/>
      <c r="O15" s="49" t="inlineStr"/>
      <c r="P15" s="47">
        <f>IF(COUNT(D15:O15)=0,"",SUM(D15:O15))</f>
        <v/>
      </c>
      <c r="Q15" s="65">
        <f>IF(P15="","",P15/$P$4)</f>
        <v/>
      </c>
      <c r="R15" s="50">
        <f>IF(Q15="","",LOOKUP(ROUND(Q15,6),Notentabelle!$C$4:$C$19,Notentabelle!$A$4:$A$19))</f>
        <v/>
      </c>
      <c r="S15" s="22">
        <f>IF(R15="","",INDEX(Notentabelle!$B$4:$B$19,R15+1))</f>
        <v/>
      </c>
      <c r="T15" s="66" t="inlineStr"/>
    </row>
    <row r="16">
      <c r="A16" s="37" t="n">
        <v>9</v>
      </c>
      <c r="B16" s="31">
        <f>IF(INDEX(Klassenliste!$B$6:$B$40,9)=0,"",INDEX(Klassenliste!$B$6:$B$40,9))</f>
        <v/>
      </c>
      <c r="C16" s="31">
        <f>IF(INDEX(Klassenliste!$C$6:$C$40,9)=0,"",INDEX(Klassenliste!$C$6:$C$40,9))</f>
        <v/>
      </c>
      <c r="D16" s="49" t="inlineStr"/>
      <c r="E16" s="49" t="inlineStr"/>
      <c r="F16" s="49" t="inlineStr"/>
      <c r="G16" s="49" t="inlineStr"/>
      <c r="H16" s="49" t="inlineStr"/>
      <c r="I16" s="49" t="inlineStr"/>
      <c r="J16" s="49" t="inlineStr"/>
      <c r="K16" s="49" t="inlineStr"/>
      <c r="L16" s="49" t="inlineStr"/>
      <c r="M16" s="49" t="inlineStr"/>
      <c r="N16" s="49" t="inlineStr"/>
      <c r="O16" s="49" t="inlineStr"/>
      <c r="P16" s="47">
        <f>IF(COUNT(D16:O16)=0,"",SUM(D16:O16))</f>
        <v/>
      </c>
      <c r="Q16" s="65">
        <f>IF(P16="","",P16/$P$4)</f>
        <v/>
      </c>
      <c r="R16" s="50">
        <f>IF(Q16="","",LOOKUP(ROUND(Q16,6),Notentabelle!$C$4:$C$19,Notentabelle!$A$4:$A$19))</f>
        <v/>
      </c>
      <c r="S16" s="22">
        <f>IF(R16="","",INDEX(Notentabelle!$B$4:$B$19,R16+1))</f>
        <v/>
      </c>
      <c r="T16" s="66" t="inlineStr"/>
    </row>
    <row r="17">
      <c r="A17" s="37" t="n">
        <v>10</v>
      </c>
      <c r="B17" s="31">
        <f>IF(INDEX(Klassenliste!$B$6:$B$40,10)=0,"",INDEX(Klassenliste!$B$6:$B$40,10))</f>
        <v/>
      </c>
      <c r="C17" s="31">
        <f>IF(INDEX(Klassenliste!$C$6:$C$40,10)=0,"",INDEX(Klassenliste!$C$6:$C$40,10))</f>
        <v/>
      </c>
      <c r="D17" s="49" t="inlineStr"/>
      <c r="E17" s="49" t="inlineStr"/>
      <c r="F17" s="49" t="inlineStr"/>
      <c r="G17" s="49" t="inlineStr"/>
      <c r="H17" s="49" t="inlineStr"/>
      <c r="I17" s="49" t="inlineStr"/>
      <c r="J17" s="49" t="inlineStr"/>
      <c r="K17" s="49" t="inlineStr"/>
      <c r="L17" s="49" t="inlineStr"/>
      <c r="M17" s="49" t="inlineStr"/>
      <c r="N17" s="49" t="inlineStr"/>
      <c r="O17" s="49" t="inlineStr"/>
      <c r="P17" s="47">
        <f>IF(COUNT(D17:O17)=0,"",SUM(D17:O17))</f>
        <v/>
      </c>
      <c r="Q17" s="65">
        <f>IF(P17="","",P17/$P$4)</f>
        <v/>
      </c>
      <c r="R17" s="50">
        <f>IF(Q17="","",LOOKUP(ROUND(Q17,6),Notentabelle!$C$4:$C$19,Notentabelle!$A$4:$A$19))</f>
        <v/>
      </c>
      <c r="S17" s="22">
        <f>IF(R17="","",INDEX(Notentabelle!$B$4:$B$19,R17+1))</f>
        <v/>
      </c>
      <c r="T17" s="66" t="inlineStr"/>
    </row>
    <row r="18">
      <c r="A18" s="37" t="n">
        <v>11</v>
      </c>
      <c r="B18" s="31">
        <f>IF(INDEX(Klassenliste!$B$6:$B$40,11)=0,"",INDEX(Klassenliste!$B$6:$B$40,11))</f>
        <v/>
      </c>
      <c r="C18" s="31">
        <f>IF(INDEX(Klassenliste!$C$6:$C$40,11)=0,"",INDEX(Klassenliste!$C$6:$C$40,11))</f>
        <v/>
      </c>
      <c r="D18" s="49" t="inlineStr"/>
      <c r="E18" s="49" t="inlineStr"/>
      <c r="F18" s="49" t="inlineStr"/>
      <c r="G18" s="49" t="inlineStr"/>
      <c r="H18" s="49" t="inlineStr"/>
      <c r="I18" s="49" t="inlineStr"/>
      <c r="J18" s="49" t="inlineStr"/>
      <c r="K18" s="49" t="inlineStr"/>
      <c r="L18" s="49" t="inlineStr"/>
      <c r="M18" s="49" t="inlineStr"/>
      <c r="N18" s="49" t="inlineStr"/>
      <c r="O18" s="49" t="inlineStr"/>
      <c r="P18" s="47">
        <f>IF(COUNT(D18:O18)=0,"",SUM(D18:O18))</f>
        <v/>
      </c>
      <c r="Q18" s="65">
        <f>IF(P18="","",P18/$P$4)</f>
        <v/>
      </c>
      <c r="R18" s="50">
        <f>IF(Q18="","",LOOKUP(ROUND(Q18,6),Notentabelle!$C$4:$C$19,Notentabelle!$A$4:$A$19))</f>
        <v/>
      </c>
      <c r="S18" s="22">
        <f>IF(R18="","",INDEX(Notentabelle!$B$4:$B$19,R18+1))</f>
        <v/>
      </c>
      <c r="T18" s="66" t="inlineStr"/>
    </row>
    <row r="19">
      <c r="A19" s="37" t="n">
        <v>12</v>
      </c>
      <c r="B19" s="31">
        <f>IF(INDEX(Klassenliste!$B$6:$B$40,12)=0,"",INDEX(Klassenliste!$B$6:$B$40,12))</f>
        <v/>
      </c>
      <c r="C19" s="31">
        <f>IF(INDEX(Klassenliste!$C$6:$C$40,12)=0,"",INDEX(Klassenliste!$C$6:$C$40,12))</f>
        <v/>
      </c>
      <c r="D19" s="49" t="inlineStr"/>
      <c r="E19" s="49" t="inlineStr"/>
      <c r="F19" s="49" t="inlineStr"/>
      <c r="G19" s="49" t="inlineStr"/>
      <c r="H19" s="49" t="inlineStr"/>
      <c r="I19" s="49" t="inlineStr"/>
      <c r="J19" s="49" t="inlineStr"/>
      <c r="K19" s="49" t="inlineStr"/>
      <c r="L19" s="49" t="inlineStr"/>
      <c r="M19" s="49" t="inlineStr"/>
      <c r="N19" s="49" t="inlineStr"/>
      <c r="O19" s="49" t="inlineStr"/>
      <c r="P19" s="47">
        <f>IF(COUNT(D19:O19)=0,"",SUM(D19:O19))</f>
        <v/>
      </c>
      <c r="Q19" s="65">
        <f>IF(P19="","",P19/$P$4)</f>
        <v/>
      </c>
      <c r="R19" s="50">
        <f>IF(Q19="","",LOOKUP(ROUND(Q19,6),Notentabelle!$C$4:$C$19,Notentabelle!$A$4:$A$19))</f>
        <v/>
      </c>
      <c r="S19" s="22">
        <f>IF(R19="","",INDEX(Notentabelle!$B$4:$B$19,R19+1))</f>
        <v/>
      </c>
      <c r="T19" s="66" t="inlineStr"/>
    </row>
    <row r="20">
      <c r="A20" s="37" t="n">
        <v>13</v>
      </c>
      <c r="B20" s="31">
        <f>IF(INDEX(Klassenliste!$B$6:$B$40,13)=0,"",INDEX(Klassenliste!$B$6:$B$40,13))</f>
        <v/>
      </c>
      <c r="C20" s="31">
        <f>IF(INDEX(Klassenliste!$C$6:$C$40,13)=0,"",INDEX(Klassenliste!$C$6:$C$40,13))</f>
        <v/>
      </c>
      <c r="D20" s="49" t="inlineStr"/>
      <c r="E20" s="49" t="inlineStr"/>
      <c r="F20" s="49" t="inlineStr"/>
      <c r="G20" s="49" t="inlineStr"/>
      <c r="H20" s="49" t="inlineStr"/>
      <c r="I20" s="49" t="inlineStr"/>
      <c r="J20" s="49" t="inlineStr"/>
      <c r="K20" s="49" t="inlineStr"/>
      <c r="L20" s="49" t="inlineStr"/>
      <c r="M20" s="49" t="inlineStr"/>
      <c r="N20" s="49" t="inlineStr"/>
      <c r="O20" s="49" t="inlineStr"/>
      <c r="P20" s="47">
        <f>IF(COUNT(D20:O20)=0,"",SUM(D20:O20))</f>
        <v/>
      </c>
      <c r="Q20" s="65">
        <f>IF(P20="","",P20/$P$4)</f>
        <v/>
      </c>
      <c r="R20" s="50">
        <f>IF(Q20="","",LOOKUP(ROUND(Q20,6),Notentabelle!$C$4:$C$19,Notentabelle!$A$4:$A$19))</f>
        <v/>
      </c>
      <c r="S20" s="22">
        <f>IF(R20="","",INDEX(Notentabelle!$B$4:$B$19,R20+1))</f>
        <v/>
      </c>
      <c r="T20" s="66" t="inlineStr"/>
    </row>
    <row r="21">
      <c r="A21" s="37" t="n">
        <v>14</v>
      </c>
      <c r="B21" s="31">
        <f>IF(INDEX(Klassenliste!$B$6:$B$40,14)=0,"",INDEX(Klassenliste!$B$6:$B$40,14))</f>
        <v/>
      </c>
      <c r="C21" s="31">
        <f>IF(INDEX(Klassenliste!$C$6:$C$40,14)=0,"",INDEX(Klassenliste!$C$6:$C$40,14))</f>
        <v/>
      </c>
      <c r="D21" s="49" t="inlineStr"/>
      <c r="E21" s="49" t="inlineStr"/>
      <c r="F21" s="49" t="inlineStr"/>
      <c r="G21" s="49" t="inlineStr"/>
      <c r="H21" s="49" t="inlineStr"/>
      <c r="I21" s="49" t="inlineStr"/>
      <c r="J21" s="49" t="inlineStr"/>
      <c r="K21" s="49" t="inlineStr"/>
      <c r="L21" s="49" t="inlineStr"/>
      <c r="M21" s="49" t="inlineStr"/>
      <c r="N21" s="49" t="inlineStr"/>
      <c r="O21" s="49" t="inlineStr"/>
      <c r="P21" s="47">
        <f>IF(COUNT(D21:O21)=0,"",SUM(D21:O21))</f>
        <v/>
      </c>
      <c r="Q21" s="65">
        <f>IF(P21="","",P21/$P$4)</f>
        <v/>
      </c>
      <c r="R21" s="50">
        <f>IF(Q21="","",LOOKUP(ROUND(Q21,6),Notentabelle!$C$4:$C$19,Notentabelle!$A$4:$A$19))</f>
        <v/>
      </c>
      <c r="S21" s="22">
        <f>IF(R21="","",INDEX(Notentabelle!$B$4:$B$19,R21+1))</f>
        <v/>
      </c>
      <c r="T21" s="66" t="inlineStr"/>
    </row>
    <row r="22">
      <c r="A22" s="37" t="n">
        <v>15</v>
      </c>
      <c r="B22" s="31">
        <f>IF(INDEX(Klassenliste!$B$6:$B$40,15)=0,"",INDEX(Klassenliste!$B$6:$B$40,15))</f>
        <v/>
      </c>
      <c r="C22" s="31">
        <f>IF(INDEX(Klassenliste!$C$6:$C$40,15)=0,"",INDEX(Klassenliste!$C$6:$C$40,15))</f>
        <v/>
      </c>
      <c r="D22" s="49" t="inlineStr"/>
      <c r="E22" s="49" t="inlineStr"/>
      <c r="F22" s="49" t="inlineStr"/>
      <c r="G22" s="49" t="inlineStr"/>
      <c r="H22" s="49" t="inlineStr"/>
      <c r="I22" s="49" t="inlineStr"/>
      <c r="J22" s="49" t="inlineStr"/>
      <c r="K22" s="49" t="inlineStr"/>
      <c r="L22" s="49" t="inlineStr"/>
      <c r="M22" s="49" t="inlineStr"/>
      <c r="N22" s="49" t="inlineStr"/>
      <c r="O22" s="49" t="inlineStr"/>
      <c r="P22" s="47">
        <f>IF(COUNT(D22:O22)=0,"",SUM(D22:O22))</f>
        <v/>
      </c>
      <c r="Q22" s="65">
        <f>IF(P22="","",P22/$P$4)</f>
        <v/>
      </c>
      <c r="R22" s="50">
        <f>IF(Q22="","",LOOKUP(ROUND(Q22,6),Notentabelle!$C$4:$C$19,Notentabelle!$A$4:$A$19))</f>
        <v/>
      </c>
      <c r="S22" s="22">
        <f>IF(R22="","",INDEX(Notentabelle!$B$4:$B$19,R22+1))</f>
        <v/>
      </c>
      <c r="T22" s="66" t="inlineStr"/>
    </row>
    <row r="23">
      <c r="A23" s="37" t="n">
        <v>16</v>
      </c>
      <c r="B23" s="31">
        <f>IF(INDEX(Klassenliste!$B$6:$B$40,16)=0,"",INDEX(Klassenliste!$B$6:$B$40,16))</f>
        <v/>
      </c>
      <c r="C23" s="31">
        <f>IF(INDEX(Klassenliste!$C$6:$C$40,16)=0,"",INDEX(Klassenliste!$C$6:$C$40,16))</f>
        <v/>
      </c>
      <c r="D23" s="49" t="inlineStr"/>
      <c r="E23" s="49" t="inlineStr"/>
      <c r="F23" s="49" t="inlineStr"/>
      <c r="G23" s="49" t="inlineStr"/>
      <c r="H23" s="49" t="inlineStr"/>
      <c r="I23" s="49" t="inlineStr"/>
      <c r="J23" s="49" t="inlineStr"/>
      <c r="K23" s="49" t="inlineStr"/>
      <c r="L23" s="49" t="inlineStr"/>
      <c r="M23" s="49" t="inlineStr"/>
      <c r="N23" s="49" t="inlineStr"/>
      <c r="O23" s="49" t="inlineStr"/>
      <c r="P23" s="47">
        <f>IF(COUNT(D23:O23)=0,"",SUM(D23:O23))</f>
        <v/>
      </c>
      <c r="Q23" s="65">
        <f>IF(P23="","",P23/$P$4)</f>
        <v/>
      </c>
      <c r="R23" s="50">
        <f>IF(Q23="","",LOOKUP(ROUND(Q23,6),Notentabelle!$C$4:$C$19,Notentabelle!$A$4:$A$19))</f>
        <v/>
      </c>
      <c r="S23" s="22">
        <f>IF(R23="","",INDEX(Notentabelle!$B$4:$B$19,R23+1))</f>
        <v/>
      </c>
      <c r="T23" s="66" t="inlineStr"/>
    </row>
    <row r="24">
      <c r="A24" s="37" t="n">
        <v>17</v>
      </c>
      <c r="B24" s="31">
        <f>IF(INDEX(Klassenliste!$B$6:$B$40,17)=0,"",INDEX(Klassenliste!$B$6:$B$40,17))</f>
        <v/>
      </c>
      <c r="C24" s="31">
        <f>IF(INDEX(Klassenliste!$C$6:$C$40,17)=0,"",INDEX(Klassenliste!$C$6:$C$40,17))</f>
        <v/>
      </c>
      <c r="D24" s="49" t="inlineStr"/>
      <c r="E24" s="49" t="inlineStr"/>
      <c r="F24" s="49" t="inlineStr"/>
      <c r="G24" s="49" t="inlineStr"/>
      <c r="H24" s="49" t="inlineStr"/>
      <c r="I24" s="49" t="inlineStr"/>
      <c r="J24" s="49" t="inlineStr"/>
      <c r="K24" s="49" t="inlineStr"/>
      <c r="L24" s="49" t="inlineStr"/>
      <c r="M24" s="49" t="inlineStr"/>
      <c r="N24" s="49" t="inlineStr"/>
      <c r="O24" s="49" t="inlineStr"/>
      <c r="P24" s="47">
        <f>IF(COUNT(D24:O24)=0,"",SUM(D24:O24))</f>
        <v/>
      </c>
      <c r="Q24" s="65">
        <f>IF(P24="","",P24/$P$4)</f>
        <v/>
      </c>
      <c r="R24" s="50">
        <f>IF(Q24="","",LOOKUP(ROUND(Q24,6),Notentabelle!$C$4:$C$19,Notentabelle!$A$4:$A$19))</f>
        <v/>
      </c>
      <c r="S24" s="22">
        <f>IF(R24="","",INDEX(Notentabelle!$B$4:$B$19,R24+1))</f>
        <v/>
      </c>
      <c r="T24" s="66" t="inlineStr"/>
    </row>
    <row r="25">
      <c r="A25" s="37" t="n">
        <v>18</v>
      </c>
      <c r="B25" s="31">
        <f>IF(INDEX(Klassenliste!$B$6:$B$40,18)=0,"",INDEX(Klassenliste!$B$6:$B$40,18))</f>
        <v/>
      </c>
      <c r="C25" s="31">
        <f>IF(INDEX(Klassenliste!$C$6:$C$40,18)=0,"",INDEX(Klassenliste!$C$6:$C$40,18))</f>
        <v/>
      </c>
      <c r="D25" s="49" t="inlineStr"/>
      <c r="E25" s="49" t="inlineStr"/>
      <c r="F25" s="49" t="inlineStr"/>
      <c r="G25" s="49" t="inlineStr"/>
      <c r="H25" s="49" t="inlineStr"/>
      <c r="I25" s="49" t="inlineStr"/>
      <c r="J25" s="49" t="inlineStr"/>
      <c r="K25" s="49" t="inlineStr"/>
      <c r="L25" s="49" t="inlineStr"/>
      <c r="M25" s="49" t="inlineStr"/>
      <c r="N25" s="49" t="inlineStr"/>
      <c r="O25" s="49" t="inlineStr"/>
      <c r="P25" s="47">
        <f>IF(COUNT(D25:O25)=0,"",SUM(D25:O25))</f>
        <v/>
      </c>
      <c r="Q25" s="65">
        <f>IF(P25="","",P25/$P$4)</f>
        <v/>
      </c>
      <c r="R25" s="50">
        <f>IF(Q25="","",LOOKUP(ROUND(Q25,6),Notentabelle!$C$4:$C$19,Notentabelle!$A$4:$A$19))</f>
        <v/>
      </c>
      <c r="S25" s="22">
        <f>IF(R25="","",INDEX(Notentabelle!$B$4:$B$19,R25+1))</f>
        <v/>
      </c>
      <c r="T25" s="66" t="inlineStr"/>
    </row>
    <row r="26">
      <c r="A26" s="37" t="n">
        <v>19</v>
      </c>
      <c r="B26" s="31">
        <f>IF(INDEX(Klassenliste!$B$6:$B$40,19)=0,"",INDEX(Klassenliste!$B$6:$B$40,19))</f>
        <v/>
      </c>
      <c r="C26" s="31">
        <f>IF(INDEX(Klassenliste!$C$6:$C$40,19)=0,"",INDEX(Klassenliste!$C$6:$C$40,19))</f>
        <v/>
      </c>
      <c r="D26" s="49" t="inlineStr"/>
      <c r="E26" s="49" t="inlineStr"/>
      <c r="F26" s="49" t="inlineStr"/>
      <c r="G26" s="49" t="inlineStr"/>
      <c r="H26" s="49" t="inlineStr"/>
      <c r="I26" s="49" t="inlineStr"/>
      <c r="J26" s="49" t="inlineStr"/>
      <c r="K26" s="49" t="inlineStr"/>
      <c r="L26" s="49" t="inlineStr"/>
      <c r="M26" s="49" t="inlineStr"/>
      <c r="N26" s="49" t="inlineStr"/>
      <c r="O26" s="49" t="inlineStr"/>
      <c r="P26" s="47">
        <f>IF(COUNT(D26:O26)=0,"",SUM(D26:O26))</f>
        <v/>
      </c>
      <c r="Q26" s="65">
        <f>IF(P26="","",P26/$P$4)</f>
        <v/>
      </c>
      <c r="R26" s="50">
        <f>IF(Q26="","",LOOKUP(ROUND(Q26,6),Notentabelle!$C$4:$C$19,Notentabelle!$A$4:$A$19))</f>
        <v/>
      </c>
      <c r="S26" s="22">
        <f>IF(R26="","",INDEX(Notentabelle!$B$4:$B$19,R26+1))</f>
        <v/>
      </c>
      <c r="T26" s="66" t="inlineStr"/>
    </row>
    <row r="27">
      <c r="A27" s="37" t="n">
        <v>20</v>
      </c>
      <c r="B27" s="31">
        <f>IF(INDEX(Klassenliste!$B$6:$B$40,20)=0,"",INDEX(Klassenliste!$B$6:$B$40,20))</f>
        <v/>
      </c>
      <c r="C27" s="31">
        <f>IF(INDEX(Klassenliste!$C$6:$C$40,20)=0,"",INDEX(Klassenliste!$C$6:$C$40,20))</f>
        <v/>
      </c>
      <c r="D27" s="49" t="inlineStr"/>
      <c r="E27" s="49" t="inlineStr"/>
      <c r="F27" s="49" t="inlineStr"/>
      <c r="G27" s="49" t="inlineStr"/>
      <c r="H27" s="49" t="inlineStr"/>
      <c r="I27" s="49" t="inlineStr"/>
      <c r="J27" s="49" t="inlineStr"/>
      <c r="K27" s="49" t="inlineStr"/>
      <c r="L27" s="49" t="inlineStr"/>
      <c r="M27" s="49" t="inlineStr"/>
      <c r="N27" s="49" t="inlineStr"/>
      <c r="O27" s="49" t="inlineStr"/>
      <c r="P27" s="47">
        <f>IF(COUNT(D27:O27)=0,"",SUM(D27:O27))</f>
        <v/>
      </c>
      <c r="Q27" s="65">
        <f>IF(P27="","",P27/$P$4)</f>
        <v/>
      </c>
      <c r="R27" s="50">
        <f>IF(Q27="","",LOOKUP(ROUND(Q27,6),Notentabelle!$C$4:$C$19,Notentabelle!$A$4:$A$19))</f>
        <v/>
      </c>
      <c r="S27" s="22">
        <f>IF(R27="","",INDEX(Notentabelle!$B$4:$B$19,R27+1))</f>
        <v/>
      </c>
      <c r="T27" s="66" t="inlineStr"/>
    </row>
    <row r="28">
      <c r="A28" s="37" t="n">
        <v>21</v>
      </c>
      <c r="B28" s="31">
        <f>IF(INDEX(Klassenliste!$B$6:$B$40,21)=0,"",INDEX(Klassenliste!$B$6:$B$40,21))</f>
        <v/>
      </c>
      <c r="C28" s="31">
        <f>IF(INDEX(Klassenliste!$C$6:$C$40,21)=0,"",INDEX(Klassenliste!$C$6:$C$40,21))</f>
        <v/>
      </c>
      <c r="D28" s="49" t="inlineStr"/>
      <c r="E28" s="49" t="inlineStr"/>
      <c r="F28" s="49" t="inlineStr"/>
      <c r="G28" s="49" t="inlineStr"/>
      <c r="H28" s="49" t="inlineStr"/>
      <c r="I28" s="49" t="inlineStr"/>
      <c r="J28" s="49" t="inlineStr"/>
      <c r="K28" s="49" t="inlineStr"/>
      <c r="L28" s="49" t="inlineStr"/>
      <c r="M28" s="49" t="inlineStr"/>
      <c r="N28" s="49" t="inlineStr"/>
      <c r="O28" s="49" t="inlineStr"/>
      <c r="P28" s="47">
        <f>IF(COUNT(D28:O28)=0,"",SUM(D28:O28))</f>
        <v/>
      </c>
      <c r="Q28" s="65">
        <f>IF(P28="","",P28/$P$4)</f>
        <v/>
      </c>
      <c r="R28" s="50">
        <f>IF(Q28="","",LOOKUP(ROUND(Q28,6),Notentabelle!$C$4:$C$19,Notentabelle!$A$4:$A$19))</f>
        <v/>
      </c>
      <c r="S28" s="22">
        <f>IF(R28="","",INDEX(Notentabelle!$B$4:$B$19,R28+1))</f>
        <v/>
      </c>
      <c r="T28" s="66" t="inlineStr"/>
    </row>
    <row r="29">
      <c r="A29" s="37" t="n">
        <v>22</v>
      </c>
      <c r="B29" s="31">
        <f>IF(INDEX(Klassenliste!$B$6:$B$40,22)=0,"",INDEX(Klassenliste!$B$6:$B$40,22))</f>
        <v/>
      </c>
      <c r="C29" s="31">
        <f>IF(INDEX(Klassenliste!$C$6:$C$40,22)=0,"",INDEX(Klassenliste!$C$6:$C$40,22))</f>
        <v/>
      </c>
      <c r="D29" s="49" t="inlineStr"/>
      <c r="E29" s="49" t="inlineStr"/>
      <c r="F29" s="49" t="inlineStr"/>
      <c r="G29" s="49" t="inlineStr"/>
      <c r="H29" s="49" t="inlineStr"/>
      <c r="I29" s="49" t="inlineStr"/>
      <c r="J29" s="49" t="inlineStr"/>
      <c r="K29" s="49" t="inlineStr"/>
      <c r="L29" s="49" t="inlineStr"/>
      <c r="M29" s="49" t="inlineStr"/>
      <c r="N29" s="49" t="inlineStr"/>
      <c r="O29" s="49" t="inlineStr"/>
      <c r="P29" s="47">
        <f>IF(COUNT(D29:O29)=0,"",SUM(D29:O29))</f>
        <v/>
      </c>
      <c r="Q29" s="65">
        <f>IF(P29="","",P29/$P$4)</f>
        <v/>
      </c>
      <c r="R29" s="50">
        <f>IF(Q29="","",LOOKUP(ROUND(Q29,6),Notentabelle!$C$4:$C$19,Notentabelle!$A$4:$A$19))</f>
        <v/>
      </c>
      <c r="S29" s="22">
        <f>IF(R29="","",INDEX(Notentabelle!$B$4:$B$19,R29+1))</f>
        <v/>
      </c>
      <c r="T29" s="66" t="inlineStr"/>
    </row>
    <row r="30">
      <c r="A30" s="37" t="n">
        <v>23</v>
      </c>
      <c r="B30" s="31">
        <f>IF(INDEX(Klassenliste!$B$6:$B$40,23)=0,"",INDEX(Klassenliste!$B$6:$B$40,23))</f>
        <v/>
      </c>
      <c r="C30" s="31">
        <f>IF(INDEX(Klassenliste!$C$6:$C$40,23)=0,"",INDEX(Klassenliste!$C$6:$C$40,23))</f>
        <v/>
      </c>
      <c r="D30" s="49" t="inlineStr"/>
      <c r="E30" s="49" t="inlineStr"/>
      <c r="F30" s="49" t="inlineStr"/>
      <c r="G30" s="49" t="inlineStr"/>
      <c r="H30" s="49" t="inlineStr"/>
      <c r="I30" s="49" t="inlineStr"/>
      <c r="J30" s="49" t="inlineStr"/>
      <c r="K30" s="49" t="inlineStr"/>
      <c r="L30" s="49" t="inlineStr"/>
      <c r="M30" s="49" t="inlineStr"/>
      <c r="N30" s="49" t="inlineStr"/>
      <c r="O30" s="49" t="inlineStr"/>
      <c r="P30" s="47">
        <f>IF(COUNT(D30:O30)=0,"",SUM(D30:O30))</f>
        <v/>
      </c>
      <c r="Q30" s="65">
        <f>IF(P30="","",P30/$P$4)</f>
        <v/>
      </c>
      <c r="R30" s="50">
        <f>IF(Q30="","",LOOKUP(ROUND(Q30,6),Notentabelle!$C$4:$C$19,Notentabelle!$A$4:$A$19))</f>
        <v/>
      </c>
      <c r="S30" s="22">
        <f>IF(R30="","",INDEX(Notentabelle!$B$4:$B$19,R30+1))</f>
        <v/>
      </c>
      <c r="T30" s="66" t="inlineStr"/>
    </row>
    <row r="31">
      <c r="A31" s="37" t="n">
        <v>24</v>
      </c>
      <c r="B31" s="31">
        <f>IF(INDEX(Klassenliste!$B$6:$B$40,24)=0,"",INDEX(Klassenliste!$B$6:$B$40,24))</f>
        <v/>
      </c>
      <c r="C31" s="31">
        <f>IF(INDEX(Klassenliste!$C$6:$C$40,24)=0,"",INDEX(Klassenliste!$C$6:$C$40,24))</f>
        <v/>
      </c>
      <c r="D31" s="49" t="inlineStr"/>
      <c r="E31" s="49" t="inlineStr"/>
      <c r="F31" s="49" t="inlineStr"/>
      <c r="G31" s="49" t="inlineStr"/>
      <c r="H31" s="49" t="inlineStr"/>
      <c r="I31" s="49" t="inlineStr"/>
      <c r="J31" s="49" t="inlineStr"/>
      <c r="K31" s="49" t="inlineStr"/>
      <c r="L31" s="49" t="inlineStr"/>
      <c r="M31" s="49" t="inlineStr"/>
      <c r="N31" s="49" t="inlineStr"/>
      <c r="O31" s="49" t="inlineStr"/>
      <c r="P31" s="47">
        <f>IF(COUNT(D31:O31)=0,"",SUM(D31:O31))</f>
        <v/>
      </c>
      <c r="Q31" s="65">
        <f>IF(P31="","",P31/$P$4)</f>
        <v/>
      </c>
      <c r="R31" s="50">
        <f>IF(Q31="","",LOOKUP(ROUND(Q31,6),Notentabelle!$C$4:$C$19,Notentabelle!$A$4:$A$19))</f>
        <v/>
      </c>
      <c r="S31" s="22">
        <f>IF(R31="","",INDEX(Notentabelle!$B$4:$B$19,R31+1))</f>
        <v/>
      </c>
      <c r="T31" s="66" t="inlineStr"/>
    </row>
    <row r="32">
      <c r="A32" s="37" t="n">
        <v>25</v>
      </c>
      <c r="B32" s="31">
        <f>IF(INDEX(Klassenliste!$B$6:$B$40,25)=0,"",INDEX(Klassenliste!$B$6:$B$40,25))</f>
        <v/>
      </c>
      <c r="C32" s="31">
        <f>IF(INDEX(Klassenliste!$C$6:$C$40,25)=0,"",INDEX(Klassenliste!$C$6:$C$40,25))</f>
        <v/>
      </c>
      <c r="D32" s="49" t="inlineStr"/>
      <c r="E32" s="49" t="inlineStr"/>
      <c r="F32" s="49" t="inlineStr"/>
      <c r="G32" s="49" t="inlineStr"/>
      <c r="H32" s="49" t="inlineStr"/>
      <c r="I32" s="49" t="inlineStr"/>
      <c r="J32" s="49" t="inlineStr"/>
      <c r="K32" s="49" t="inlineStr"/>
      <c r="L32" s="49" t="inlineStr"/>
      <c r="M32" s="49" t="inlineStr"/>
      <c r="N32" s="49" t="inlineStr"/>
      <c r="O32" s="49" t="inlineStr"/>
      <c r="P32" s="47">
        <f>IF(COUNT(D32:O32)=0,"",SUM(D32:O32))</f>
        <v/>
      </c>
      <c r="Q32" s="65">
        <f>IF(P32="","",P32/$P$4)</f>
        <v/>
      </c>
      <c r="R32" s="50">
        <f>IF(Q32="","",LOOKUP(ROUND(Q32,6),Notentabelle!$C$4:$C$19,Notentabelle!$A$4:$A$19))</f>
        <v/>
      </c>
      <c r="S32" s="22">
        <f>IF(R32="","",INDEX(Notentabelle!$B$4:$B$19,R32+1))</f>
        <v/>
      </c>
      <c r="T32" s="66" t="inlineStr"/>
    </row>
    <row r="33">
      <c r="A33" s="37" t="n">
        <v>26</v>
      </c>
      <c r="B33" s="31">
        <f>IF(INDEX(Klassenliste!$B$6:$B$40,26)=0,"",INDEX(Klassenliste!$B$6:$B$40,26))</f>
        <v/>
      </c>
      <c r="C33" s="31">
        <f>IF(INDEX(Klassenliste!$C$6:$C$40,26)=0,"",INDEX(Klassenliste!$C$6:$C$40,26))</f>
        <v/>
      </c>
      <c r="D33" s="49" t="inlineStr"/>
      <c r="E33" s="49" t="inlineStr"/>
      <c r="F33" s="49" t="inlineStr"/>
      <c r="G33" s="49" t="inlineStr"/>
      <c r="H33" s="49" t="inlineStr"/>
      <c r="I33" s="49" t="inlineStr"/>
      <c r="J33" s="49" t="inlineStr"/>
      <c r="K33" s="49" t="inlineStr"/>
      <c r="L33" s="49" t="inlineStr"/>
      <c r="M33" s="49" t="inlineStr"/>
      <c r="N33" s="49" t="inlineStr"/>
      <c r="O33" s="49" t="inlineStr"/>
      <c r="P33" s="47">
        <f>IF(COUNT(D33:O33)=0,"",SUM(D33:O33))</f>
        <v/>
      </c>
      <c r="Q33" s="65">
        <f>IF(P33="","",P33/$P$4)</f>
        <v/>
      </c>
      <c r="R33" s="50">
        <f>IF(Q33="","",LOOKUP(ROUND(Q33,6),Notentabelle!$C$4:$C$19,Notentabelle!$A$4:$A$19))</f>
        <v/>
      </c>
      <c r="S33" s="22">
        <f>IF(R33="","",INDEX(Notentabelle!$B$4:$B$19,R33+1))</f>
        <v/>
      </c>
      <c r="T33" s="66" t="inlineStr"/>
    </row>
    <row r="34">
      <c r="A34" s="37" t="n">
        <v>27</v>
      </c>
      <c r="B34" s="31">
        <f>IF(INDEX(Klassenliste!$B$6:$B$40,27)=0,"",INDEX(Klassenliste!$B$6:$B$40,27))</f>
        <v/>
      </c>
      <c r="C34" s="31">
        <f>IF(INDEX(Klassenliste!$C$6:$C$40,27)=0,"",INDEX(Klassenliste!$C$6:$C$40,27))</f>
        <v/>
      </c>
      <c r="D34" s="49" t="inlineStr"/>
      <c r="E34" s="49" t="inlineStr"/>
      <c r="F34" s="49" t="inlineStr"/>
      <c r="G34" s="49" t="inlineStr"/>
      <c r="H34" s="49" t="inlineStr"/>
      <c r="I34" s="49" t="inlineStr"/>
      <c r="J34" s="49" t="inlineStr"/>
      <c r="K34" s="49" t="inlineStr"/>
      <c r="L34" s="49" t="inlineStr"/>
      <c r="M34" s="49" t="inlineStr"/>
      <c r="N34" s="49" t="inlineStr"/>
      <c r="O34" s="49" t="inlineStr"/>
      <c r="P34" s="47">
        <f>IF(COUNT(D34:O34)=0,"",SUM(D34:O34))</f>
        <v/>
      </c>
      <c r="Q34" s="65">
        <f>IF(P34="","",P34/$P$4)</f>
        <v/>
      </c>
      <c r="R34" s="50">
        <f>IF(Q34="","",LOOKUP(ROUND(Q34,6),Notentabelle!$C$4:$C$19,Notentabelle!$A$4:$A$19))</f>
        <v/>
      </c>
      <c r="S34" s="22">
        <f>IF(R34="","",INDEX(Notentabelle!$B$4:$B$19,R34+1))</f>
        <v/>
      </c>
      <c r="T34" s="66" t="inlineStr"/>
    </row>
    <row r="35">
      <c r="A35" s="37" t="n">
        <v>28</v>
      </c>
      <c r="B35" s="31">
        <f>IF(INDEX(Klassenliste!$B$6:$B$40,28)=0,"",INDEX(Klassenliste!$B$6:$B$40,28))</f>
        <v/>
      </c>
      <c r="C35" s="31">
        <f>IF(INDEX(Klassenliste!$C$6:$C$40,28)=0,"",INDEX(Klassenliste!$C$6:$C$40,28))</f>
        <v/>
      </c>
      <c r="D35" s="49" t="inlineStr"/>
      <c r="E35" s="49" t="inlineStr"/>
      <c r="F35" s="49" t="inlineStr"/>
      <c r="G35" s="49" t="inlineStr"/>
      <c r="H35" s="49" t="inlineStr"/>
      <c r="I35" s="49" t="inlineStr"/>
      <c r="J35" s="49" t="inlineStr"/>
      <c r="K35" s="49" t="inlineStr"/>
      <c r="L35" s="49" t="inlineStr"/>
      <c r="M35" s="49" t="inlineStr"/>
      <c r="N35" s="49" t="inlineStr"/>
      <c r="O35" s="49" t="inlineStr"/>
      <c r="P35" s="47">
        <f>IF(COUNT(D35:O35)=0,"",SUM(D35:O35))</f>
        <v/>
      </c>
      <c r="Q35" s="65">
        <f>IF(P35="","",P35/$P$4)</f>
        <v/>
      </c>
      <c r="R35" s="50">
        <f>IF(Q35="","",LOOKUP(ROUND(Q35,6),Notentabelle!$C$4:$C$19,Notentabelle!$A$4:$A$19))</f>
        <v/>
      </c>
      <c r="S35" s="22">
        <f>IF(R35="","",INDEX(Notentabelle!$B$4:$B$19,R35+1))</f>
        <v/>
      </c>
      <c r="T35" s="66" t="inlineStr"/>
    </row>
    <row r="36">
      <c r="A36" s="37" t="n">
        <v>29</v>
      </c>
      <c r="B36" s="31">
        <f>IF(INDEX(Klassenliste!$B$6:$B$40,29)=0,"",INDEX(Klassenliste!$B$6:$B$40,29))</f>
        <v/>
      </c>
      <c r="C36" s="31">
        <f>IF(INDEX(Klassenliste!$C$6:$C$40,29)=0,"",INDEX(Klassenliste!$C$6:$C$40,29))</f>
        <v/>
      </c>
      <c r="D36" s="49" t="inlineStr"/>
      <c r="E36" s="49" t="inlineStr"/>
      <c r="F36" s="49" t="inlineStr"/>
      <c r="G36" s="49" t="inlineStr"/>
      <c r="H36" s="49" t="inlineStr"/>
      <c r="I36" s="49" t="inlineStr"/>
      <c r="J36" s="49" t="inlineStr"/>
      <c r="K36" s="49" t="inlineStr"/>
      <c r="L36" s="49" t="inlineStr"/>
      <c r="M36" s="49" t="inlineStr"/>
      <c r="N36" s="49" t="inlineStr"/>
      <c r="O36" s="49" t="inlineStr"/>
      <c r="P36" s="47">
        <f>IF(COUNT(D36:O36)=0,"",SUM(D36:O36))</f>
        <v/>
      </c>
      <c r="Q36" s="65">
        <f>IF(P36="","",P36/$P$4)</f>
        <v/>
      </c>
      <c r="R36" s="50">
        <f>IF(Q36="","",LOOKUP(ROUND(Q36,6),Notentabelle!$C$4:$C$19,Notentabelle!$A$4:$A$19))</f>
        <v/>
      </c>
      <c r="S36" s="22">
        <f>IF(R36="","",INDEX(Notentabelle!$B$4:$B$19,R36+1))</f>
        <v/>
      </c>
      <c r="T36" s="66" t="inlineStr"/>
    </row>
    <row r="37">
      <c r="A37" s="37" t="n">
        <v>30</v>
      </c>
      <c r="B37" s="31">
        <f>IF(INDEX(Klassenliste!$B$6:$B$40,30)=0,"",INDEX(Klassenliste!$B$6:$B$40,30))</f>
        <v/>
      </c>
      <c r="C37" s="31">
        <f>IF(INDEX(Klassenliste!$C$6:$C$40,30)=0,"",INDEX(Klassenliste!$C$6:$C$40,30))</f>
        <v/>
      </c>
      <c r="D37" s="49" t="inlineStr"/>
      <c r="E37" s="49" t="inlineStr"/>
      <c r="F37" s="49" t="inlineStr"/>
      <c r="G37" s="49" t="inlineStr"/>
      <c r="H37" s="49" t="inlineStr"/>
      <c r="I37" s="49" t="inlineStr"/>
      <c r="J37" s="49" t="inlineStr"/>
      <c r="K37" s="49" t="inlineStr"/>
      <c r="L37" s="49" t="inlineStr"/>
      <c r="M37" s="49" t="inlineStr"/>
      <c r="N37" s="49" t="inlineStr"/>
      <c r="O37" s="49" t="inlineStr"/>
      <c r="P37" s="47">
        <f>IF(COUNT(D37:O37)=0,"",SUM(D37:O37))</f>
        <v/>
      </c>
      <c r="Q37" s="65">
        <f>IF(P37="","",P37/$P$4)</f>
        <v/>
      </c>
      <c r="R37" s="50">
        <f>IF(Q37="","",LOOKUP(ROUND(Q37,6),Notentabelle!$C$4:$C$19,Notentabelle!$A$4:$A$19))</f>
        <v/>
      </c>
      <c r="S37" s="22">
        <f>IF(R37="","",INDEX(Notentabelle!$B$4:$B$19,R37+1))</f>
        <v/>
      </c>
      <c r="T37" s="66" t="inlineStr"/>
    </row>
    <row r="38">
      <c r="A38" s="37" t="n">
        <v>31</v>
      </c>
      <c r="B38" s="31">
        <f>IF(INDEX(Klassenliste!$B$6:$B$40,31)=0,"",INDEX(Klassenliste!$B$6:$B$40,31))</f>
        <v/>
      </c>
      <c r="C38" s="31">
        <f>IF(INDEX(Klassenliste!$C$6:$C$40,31)=0,"",INDEX(Klassenliste!$C$6:$C$40,31))</f>
        <v/>
      </c>
      <c r="D38" s="49" t="inlineStr"/>
      <c r="E38" s="49" t="inlineStr"/>
      <c r="F38" s="49" t="inlineStr"/>
      <c r="G38" s="49" t="inlineStr"/>
      <c r="H38" s="49" t="inlineStr"/>
      <c r="I38" s="49" t="inlineStr"/>
      <c r="J38" s="49" t="inlineStr"/>
      <c r="K38" s="49" t="inlineStr"/>
      <c r="L38" s="49" t="inlineStr"/>
      <c r="M38" s="49" t="inlineStr"/>
      <c r="N38" s="49" t="inlineStr"/>
      <c r="O38" s="49" t="inlineStr"/>
      <c r="P38" s="47">
        <f>IF(COUNT(D38:O38)=0,"",SUM(D38:O38))</f>
        <v/>
      </c>
      <c r="Q38" s="65">
        <f>IF(P38="","",P38/$P$4)</f>
        <v/>
      </c>
      <c r="R38" s="50">
        <f>IF(Q38="","",LOOKUP(ROUND(Q38,6),Notentabelle!$C$4:$C$19,Notentabelle!$A$4:$A$19))</f>
        <v/>
      </c>
      <c r="S38" s="22">
        <f>IF(R38="","",INDEX(Notentabelle!$B$4:$B$19,R38+1))</f>
        <v/>
      </c>
      <c r="T38" s="66" t="inlineStr"/>
    </row>
    <row r="39">
      <c r="A39" s="37" t="n">
        <v>32</v>
      </c>
      <c r="B39" s="31">
        <f>IF(INDEX(Klassenliste!$B$6:$B$40,32)=0,"",INDEX(Klassenliste!$B$6:$B$40,32))</f>
        <v/>
      </c>
      <c r="C39" s="31">
        <f>IF(INDEX(Klassenliste!$C$6:$C$40,32)=0,"",INDEX(Klassenliste!$C$6:$C$40,32))</f>
        <v/>
      </c>
      <c r="D39" s="49" t="inlineStr"/>
      <c r="E39" s="49" t="inlineStr"/>
      <c r="F39" s="49" t="inlineStr"/>
      <c r="G39" s="49" t="inlineStr"/>
      <c r="H39" s="49" t="inlineStr"/>
      <c r="I39" s="49" t="inlineStr"/>
      <c r="J39" s="49" t="inlineStr"/>
      <c r="K39" s="49" t="inlineStr"/>
      <c r="L39" s="49" t="inlineStr"/>
      <c r="M39" s="49" t="inlineStr"/>
      <c r="N39" s="49" t="inlineStr"/>
      <c r="O39" s="49" t="inlineStr"/>
      <c r="P39" s="47">
        <f>IF(COUNT(D39:O39)=0,"",SUM(D39:O39))</f>
        <v/>
      </c>
      <c r="Q39" s="65">
        <f>IF(P39="","",P39/$P$4)</f>
        <v/>
      </c>
      <c r="R39" s="50">
        <f>IF(Q39="","",LOOKUP(ROUND(Q39,6),Notentabelle!$C$4:$C$19,Notentabelle!$A$4:$A$19))</f>
        <v/>
      </c>
      <c r="S39" s="22">
        <f>IF(R39="","",INDEX(Notentabelle!$B$4:$B$19,R39+1))</f>
        <v/>
      </c>
      <c r="T39" s="66" t="inlineStr"/>
    </row>
    <row r="40">
      <c r="A40" s="37" t="n">
        <v>33</v>
      </c>
      <c r="B40" s="31">
        <f>IF(INDEX(Klassenliste!$B$6:$B$40,33)=0,"",INDEX(Klassenliste!$B$6:$B$40,33))</f>
        <v/>
      </c>
      <c r="C40" s="31">
        <f>IF(INDEX(Klassenliste!$C$6:$C$40,33)=0,"",INDEX(Klassenliste!$C$6:$C$40,33))</f>
        <v/>
      </c>
      <c r="D40" s="49" t="inlineStr"/>
      <c r="E40" s="49" t="inlineStr"/>
      <c r="F40" s="49" t="inlineStr"/>
      <c r="G40" s="49" t="inlineStr"/>
      <c r="H40" s="49" t="inlineStr"/>
      <c r="I40" s="49" t="inlineStr"/>
      <c r="J40" s="49" t="inlineStr"/>
      <c r="K40" s="49" t="inlineStr"/>
      <c r="L40" s="49" t="inlineStr"/>
      <c r="M40" s="49" t="inlineStr"/>
      <c r="N40" s="49" t="inlineStr"/>
      <c r="O40" s="49" t="inlineStr"/>
      <c r="P40" s="47">
        <f>IF(COUNT(D40:O40)=0,"",SUM(D40:O40))</f>
        <v/>
      </c>
      <c r="Q40" s="65">
        <f>IF(P40="","",P40/$P$4)</f>
        <v/>
      </c>
      <c r="R40" s="50">
        <f>IF(Q40="","",LOOKUP(ROUND(Q40,6),Notentabelle!$C$4:$C$19,Notentabelle!$A$4:$A$19))</f>
        <v/>
      </c>
      <c r="S40" s="22">
        <f>IF(R40="","",INDEX(Notentabelle!$B$4:$B$19,R40+1))</f>
        <v/>
      </c>
      <c r="T40" s="66" t="inlineStr"/>
    </row>
    <row r="41">
      <c r="A41" s="37" t="n">
        <v>34</v>
      </c>
      <c r="B41" s="31">
        <f>IF(INDEX(Klassenliste!$B$6:$B$40,34)=0,"",INDEX(Klassenliste!$B$6:$B$40,34))</f>
        <v/>
      </c>
      <c r="C41" s="31">
        <f>IF(INDEX(Klassenliste!$C$6:$C$40,34)=0,"",INDEX(Klassenliste!$C$6:$C$40,34))</f>
        <v/>
      </c>
      <c r="D41" s="49" t="inlineStr"/>
      <c r="E41" s="49" t="inlineStr"/>
      <c r="F41" s="49" t="inlineStr"/>
      <c r="G41" s="49" t="inlineStr"/>
      <c r="H41" s="49" t="inlineStr"/>
      <c r="I41" s="49" t="inlineStr"/>
      <c r="J41" s="49" t="inlineStr"/>
      <c r="K41" s="49" t="inlineStr"/>
      <c r="L41" s="49" t="inlineStr"/>
      <c r="M41" s="49" t="inlineStr"/>
      <c r="N41" s="49" t="inlineStr"/>
      <c r="O41" s="49" t="inlineStr"/>
      <c r="P41" s="47">
        <f>IF(COUNT(D41:O41)=0,"",SUM(D41:O41))</f>
        <v/>
      </c>
      <c r="Q41" s="65">
        <f>IF(P41="","",P41/$P$4)</f>
        <v/>
      </c>
      <c r="R41" s="50">
        <f>IF(Q41="","",LOOKUP(ROUND(Q41,6),Notentabelle!$C$4:$C$19,Notentabelle!$A$4:$A$19))</f>
        <v/>
      </c>
      <c r="S41" s="22">
        <f>IF(R41="","",INDEX(Notentabelle!$B$4:$B$19,R41+1))</f>
        <v/>
      </c>
      <c r="T41" s="66" t="inlineStr"/>
    </row>
    <row r="42">
      <c r="A42" s="37" t="n">
        <v>35</v>
      </c>
      <c r="B42" s="31">
        <f>IF(INDEX(Klassenliste!$B$6:$B$40,35)=0,"",INDEX(Klassenliste!$B$6:$B$40,35))</f>
        <v/>
      </c>
      <c r="C42" s="31">
        <f>IF(INDEX(Klassenliste!$C$6:$C$40,35)=0,"",INDEX(Klassenliste!$C$6:$C$40,35))</f>
        <v/>
      </c>
      <c r="D42" s="49" t="inlineStr"/>
      <c r="E42" s="49" t="inlineStr"/>
      <c r="F42" s="49" t="inlineStr"/>
      <c r="G42" s="49" t="inlineStr"/>
      <c r="H42" s="49" t="inlineStr"/>
      <c r="I42" s="49" t="inlineStr"/>
      <c r="J42" s="49" t="inlineStr"/>
      <c r="K42" s="49" t="inlineStr"/>
      <c r="L42" s="49" t="inlineStr"/>
      <c r="M42" s="49" t="inlineStr"/>
      <c r="N42" s="49" t="inlineStr"/>
      <c r="O42" s="49" t="inlineStr"/>
      <c r="P42" s="47">
        <f>IF(COUNT(D42:O42)=0,"",SUM(D42:O42))</f>
        <v/>
      </c>
      <c r="Q42" s="65">
        <f>IF(P42="","",P42/$P$4)</f>
        <v/>
      </c>
      <c r="R42" s="50">
        <f>IF(Q42="","",LOOKUP(ROUND(Q42,6),Notentabelle!$C$4:$C$19,Notentabelle!$A$4:$A$19))</f>
        <v/>
      </c>
      <c r="S42" s="22">
        <f>IF(R42="","",INDEX(Notentabelle!$B$4:$B$19,R42+1))</f>
        <v/>
      </c>
      <c r="T42" s="66" t="inlineStr"/>
    </row>
    <row r="45">
      <c r="B45" s="53" t="inlineStr">
        <is>
          <t>Notenspiegel</t>
        </is>
      </c>
      <c r="D45" s="17" t="n">
        <v>15</v>
      </c>
      <c r="E45" s="17" t="n">
        <v>14</v>
      </c>
      <c r="F45" s="17" t="n">
        <v>13</v>
      </c>
      <c r="G45" s="17" t="n">
        <v>12</v>
      </c>
      <c r="H45" s="17" t="n">
        <v>11</v>
      </c>
      <c r="I45" s="17" t="n">
        <v>10</v>
      </c>
      <c r="J45" s="17" t="n">
        <v>9</v>
      </c>
      <c r="K45" s="17" t="n">
        <v>8</v>
      </c>
      <c r="L45" s="17" t="n">
        <v>7</v>
      </c>
      <c r="M45" s="17" t="n">
        <v>6</v>
      </c>
      <c r="N45" s="17" t="n">
        <v>5</v>
      </c>
      <c r="O45" s="17" t="n">
        <v>4</v>
      </c>
      <c r="P45" s="17" t="n">
        <v>3</v>
      </c>
      <c r="Q45" s="17" t="n">
        <v>2</v>
      </c>
      <c r="R45" s="17" t="n">
        <v>1</v>
      </c>
      <c r="S45" s="17" t="n">
        <v>0</v>
      </c>
    </row>
    <row r="46">
      <c r="D46" s="19">
        <f>COUNTIF($R$8:$R$42,15)</f>
        <v/>
      </c>
      <c r="E46" s="19">
        <f>COUNTIF($R$8:$R$42,14)</f>
        <v/>
      </c>
      <c r="F46" s="19">
        <f>COUNTIF($R$8:$R$42,13)</f>
        <v/>
      </c>
      <c r="G46" s="19">
        <f>COUNTIF($R$8:$R$42,12)</f>
        <v/>
      </c>
      <c r="H46" s="19">
        <f>COUNTIF($R$8:$R$42,11)</f>
        <v/>
      </c>
      <c r="I46" s="19">
        <f>COUNTIF($R$8:$R$42,10)</f>
        <v/>
      </c>
      <c r="J46" s="19">
        <f>COUNTIF($R$8:$R$42,9)</f>
        <v/>
      </c>
      <c r="K46" s="19">
        <f>COUNTIF($R$8:$R$42,8)</f>
        <v/>
      </c>
      <c r="L46" s="19">
        <f>COUNTIF($R$8:$R$42,7)</f>
        <v/>
      </c>
      <c r="M46" s="19">
        <f>COUNTIF($R$8:$R$42,6)</f>
        <v/>
      </c>
      <c r="N46" s="19">
        <f>COUNTIF($R$8:$R$42,5)</f>
        <v/>
      </c>
      <c r="O46" s="19">
        <f>COUNTIF($R$8:$R$42,4)</f>
        <v/>
      </c>
      <c r="P46" s="19">
        <f>COUNTIF($R$8:$R$42,3)</f>
        <v/>
      </c>
      <c r="Q46" s="19">
        <f>COUNTIF($R$8:$R$42,2)</f>
        <v/>
      </c>
      <c r="R46" s="19">
        <f>COUNTIF($R$8:$R$42,1)</f>
        <v/>
      </c>
      <c r="S46" s="19">
        <f>COUNTIF($R$8:$R$42,0)</f>
        <v/>
      </c>
    </row>
    <row r="47">
      <c r="D47" s="53" t="inlineStr">
        <is>
          <t>Defizite (unter 5 P):</t>
        </is>
      </c>
      <c r="G47" s="19">
        <f>COUNTIF($R$8:$R$42,"&lt;5")</f>
        <v/>
      </c>
      <c r="I47" s="53" t="inlineStr">
        <is>
          <t>Ø Punkte:</t>
        </is>
      </c>
      <c r="K47" s="67">
        <f>IFERROR(ROUND(AVERAGE(R8:R42),1),"")</f>
        <v/>
      </c>
    </row>
    <row r="48">
      <c r="B48" s="53" t="inlineStr">
        <is>
          <t>nach Noten</t>
        </is>
      </c>
      <c r="D48" s="17" t="inlineStr">
        <is>
          <t>Note 1</t>
        </is>
      </c>
      <c r="E48" s="17" t="inlineStr">
        <is>
          <t>Note 2</t>
        </is>
      </c>
      <c r="F48" s="17" t="inlineStr">
        <is>
          <t>Note 3</t>
        </is>
      </c>
      <c r="G48" s="17" t="inlineStr">
        <is>
          <t>Note 4</t>
        </is>
      </c>
      <c r="H48" s="17" t="inlineStr">
        <is>
          <t>Note 5</t>
        </is>
      </c>
      <c r="I48" s="17" t="inlineStr">
        <is>
          <t>Note 6</t>
        </is>
      </c>
    </row>
    <row r="49">
      <c r="D49" s="19">
        <f>COUNTIF($R$8:$R$42,"&gt;=13")</f>
        <v/>
      </c>
      <c r="E49" s="19">
        <f>COUNTIFS($R$8:$R$42,"&gt;=10",$R$8:$R$42,"&lt;=12")</f>
        <v/>
      </c>
      <c r="F49" s="19">
        <f>COUNTIFS($R$8:$R$42,"&gt;=7",$R$8:$R$42,"&lt;=9")</f>
        <v/>
      </c>
      <c r="G49" s="19">
        <f>COUNTIFS($R$8:$R$42,"&gt;=4",$R$8:$R$42,"&lt;=6")</f>
        <v/>
      </c>
      <c r="H49" s="19">
        <f>COUNTIFS($R$8:$R$42,"&gt;=1",$R$8:$R$42,"&lt;=3")</f>
        <v/>
      </c>
      <c r="I49" s="19">
        <f>COUNTIF($R$8:$R$42,0)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L2:S2"/>
    <mergeCell ref="C2:G2"/>
    <mergeCell ref="J2:K2"/>
    <mergeCell ref="A1:R1"/>
  </mergeCells>
  <conditionalFormatting sqref="D46:S46">
    <cfRule type="dataBar" priority="1">
      <dataBar showValue="1">
        <cfvo type="num" val="0"/>
        <cfvo type="max"/>
        <color rgb="0035596E"/>
      </dataBar>
    </cfRule>
  </conditionalFormatting>
  <conditionalFormatting sqref="D49:I49">
    <cfRule type="dataBar" priority="2">
      <dataBar showValue="1">
        <cfvo type="num" val="0"/>
        <cfvo type="max"/>
        <color rgb="0035596E"/>
      </dataBar>
    </cfRule>
  </conditionalFormatting>
  <conditionalFormatting sqref="A8:S42">
    <cfRule type="expression" priority="3" dxfId="1" stopIfTrue="1">
      <formula>$B8=""</formula>
    </cfRule>
  </conditionalFormatting>
  <conditionalFormatting sqref="D8:O42">
    <cfRule type="expression" priority="4" dxfId="5">
      <formula>AND(D8&lt;&gt;"",OR(NOT(ISNUMBER(D8)),D8&lt;0,D$4="",AND(ISNUMBER(D$4),D8&gt;D$4)))</formula>
    </cfRule>
    <cfRule type="expression" priority="8" dxfId="6">
      <formula>D$4=""</formula>
    </cfRule>
  </conditionalFormatting>
  <conditionalFormatting sqref="D4:O4">
    <cfRule type="expression" priority="5" dxfId="5">
      <formula>AND(D4&lt;&gt;"",NOT(ISNUMBER(D4)))</formula>
    </cfRule>
  </conditionalFormatting>
  <conditionalFormatting sqref="Q8:Q42">
    <cfRule type="expression" priority="6" dxfId="5">
      <formula>AND(ISNUMBER(Q8),OR(Q8&gt;1,Q8&lt;0))</formula>
    </cfRule>
  </conditionalFormatting>
  <conditionalFormatting sqref="R8:R42">
    <cfRule type="expression" priority="7" dxfId="2">
      <formula>AND(ISNUMBER(R8),R8&lt;5)</formula>
    </cfRule>
  </conditionalFormatting>
  <conditionalFormatting sqref="D3:O3">
    <cfRule type="expression" priority="9" dxfId="6">
      <formula>D$4=""</formula>
    </cfRule>
  </conditionalFormatting>
  <dataValidations count="2">
    <dataValidation sqref="D4:O4" showDropDown="0" showInputMessage="0" showErrorMessage="1" allowBlank="1" errorTitle="Ungültige Maximalpunkte" error="Bitte eine Zahl zwischen 0 und 999 eintragen." type="decimal" operator="between">
      <formula1>0</formula1>
      <formula2>999</formula2>
    </dataValidation>
    <dataValidation sqref="D8:O42" showDropDown="0" showInputMessage="0" showErrorMessage="1" allowBlank="1" errorTitle="Ungültige Punktzahl" error="Nur Zahlen von 0 bis zur Maximalpunktzahl dieser Aufgabe." type="custom">
      <formula1>AND(ISNUMBER(D8),D8&gt;=0,D8&lt;=D$4)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tabColor rgb="00D8DDE0"/>
    <outlinePr summaryBelow="1" summaryRight="1"/>
    <pageSetUpPr fitToPage="1"/>
  </sheetPr>
  <dimension ref="A1:T49"/>
  <sheetViews>
    <sheetView showGridLines="0" zoomScale="10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7" customWidth="1" min="16" max="16"/>
    <col width="8" customWidth="1" min="17" max="17"/>
    <col width="8" customWidth="1" min="18" max="18"/>
    <col width="12" customWidth="1" min="19" max="19"/>
    <col width="48" customWidth="1" min="20" max="20"/>
  </cols>
  <sheetData>
    <row r="1" ht="26" customHeight="1">
      <c r="A1" s="1" t="inlineStr">
        <is>
          <t>Klausur 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8">
        <f>HYPERLINK("#Start!A1","⌂")</f>
        <v/>
      </c>
    </row>
    <row r="2">
      <c r="B2" s="53" t="inlineStr">
        <is>
          <t>Thema:</t>
        </is>
      </c>
      <c r="C2" s="11" t="inlineStr"/>
      <c r="D2" s="54" t="n"/>
      <c r="E2" s="54" t="n"/>
      <c r="F2" s="54" t="n"/>
      <c r="G2" s="54" t="n"/>
      <c r="I2" s="53" t="inlineStr">
        <is>
          <t>Datum:</t>
        </is>
      </c>
      <c r="J2" s="24" t="inlineStr"/>
      <c r="K2" s="55" t="n"/>
      <c r="L2" s="12">
        <f>Klassenliste!$E$2&amp;"  ·  "&amp;Klassenliste!$J$2&amp;"  ·  "&amp;Klassenliste!$H$2&amp;""</f>
        <v/>
      </c>
    </row>
    <row r="3">
      <c r="C3" s="18" t="inlineStr">
        <is>
          <t>Aufgabe</t>
        </is>
      </c>
      <c r="D3" s="56" t="inlineStr">
        <is>
          <t>A1</t>
        </is>
      </c>
      <c r="E3" s="56" t="inlineStr">
        <is>
          <t>A2</t>
        </is>
      </c>
      <c r="F3" s="56" t="inlineStr">
        <is>
          <t>A3</t>
        </is>
      </c>
      <c r="G3" s="56" t="inlineStr">
        <is>
          <t>A4</t>
        </is>
      </c>
      <c r="H3" s="56" t="inlineStr">
        <is>
          <t>A5</t>
        </is>
      </c>
      <c r="I3" s="56" t="inlineStr">
        <is>
          <t>A6</t>
        </is>
      </c>
      <c r="J3" s="56" t="inlineStr">
        <is>
          <t>A7</t>
        </is>
      </c>
      <c r="K3" s="56" t="inlineStr">
        <is>
          <t>A8</t>
        </is>
      </c>
      <c r="L3" s="56" t="inlineStr">
        <is>
          <t>A9</t>
        </is>
      </c>
      <c r="M3" s="56" t="inlineStr">
        <is>
          <t>A10</t>
        </is>
      </c>
      <c r="N3" s="56" t="inlineStr">
        <is>
          <t>A11</t>
        </is>
      </c>
      <c r="O3" s="56" t="inlineStr">
        <is>
          <t>A12</t>
        </is>
      </c>
      <c r="P3" s="45" t="inlineStr">
        <is>
          <t>Ges.</t>
        </is>
      </c>
    </row>
    <row r="4">
      <c r="C4" s="18" t="inlineStr">
        <is>
          <t>max. Punkte</t>
        </is>
      </c>
      <c r="D4" s="57" t="inlineStr"/>
      <c r="E4" s="57" t="inlineStr"/>
      <c r="F4" s="57" t="inlineStr"/>
      <c r="G4" s="57" t="inlineStr"/>
      <c r="H4" s="57" t="inlineStr"/>
      <c r="I4" s="57" t="inlineStr"/>
      <c r="J4" s="57" t="inlineStr"/>
      <c r="K4" s="57" t="inlineStr"/>
      <c r="L4" s="57" t="inlineStr"/>
      <c r="M4" s="57" t="inlineStr"/>
      <c r="N4" s="57" t="inlineStr"/>
      <c r="O4" s="57" t="inlineStr"/>
      <c r="P4" s="58">
        <f>IF(COUNT(D4:O4)=0,"",SUM(D4:O4))</f>
        <v/>
      </c>
    </row>
    <row r="5">
      <c r="C5" s="18" t="inlineStr">
        <is>
          <t>Schnitt</t>
        </is>
      </c>
      <c r="D5" s="59">
        <f>IF(D$4="","",IFERROR(ROUND(AVERAGE(D8:D42),2),""))</f>
        <v/>
      </c>
      <c r="E5" s="59">
        <f>IF(E$4="","",IFERROR(ROUND(AVERAGE(E8:E42),2),""))</f>
        <v/>
      </c>
      <c r="F5" s="59">
        <f>IF(F$4="","",IFERROR(ROUND(AVERAGE(F8:F42),2),""))</f>
        <v/>
      </c>
      <c r="G5" s="59">
        <f>IF(G$4="","",IFERROR(ROUND(AVERAGE(G8:G42),2),""))</f>
        <v/>
      </c>
      <c r="H5" s="59">
        <f>IF(H$4="","",IFERROR(ROUND(AVERAGE(H8:H42),2),""))</f>
        <v/>
      </c>
      <c r="I5" s="59">
        <f>IF(I$4="","",IFERROR(ROUND(AVERAGE(I8:I42),2),""))</f>
        <v/>
      </c>
      <c r="J5" s="59">
        <f>IF(J$4="","",IFERROR(ROUND(AVERAGE(J8:J42),2),""))</f>
        <v/>
      </c>
      <c r="K5" s="59">
        <f>IF(K$4="","",IFERROR(ROUND(AVERAGE(K8:K42),2),""))</f>
        <v/>
      </c>
      <c r="L5" s="59">
        <f>IF(L$4="","",IFERROR(ROUND(AVERAGE(L8:L42),2),""))</f>
        <v/>
      </c>
      <c r="M5" s="59">
        <f>IF(M$4="","",IFERROR(ROUND(AVERAGE(M8:M42),2),""))</f>
        <v/>
      </c>
      <c r="N5" s="59">
        <f>IF(N$4="","",IFERROR(ROUND(AVERAGE(N8:N42),2),""))</f>
        <v/>
      </c>
      <c r="O5" s="59">
        <f>IF(O$4="","",IFERROR(ROUND(AVERAGE(O8:O42),2),""))</f>
        <v/>
      </c>
      <c r="P5" s="60">
        <f>IFERROR(ROUND(AVERAGE(P8:P42),2),"")</f>
        <v/>
      </c>
    </row>
    <row r="6">
      <c r="A6" s="61" t="n"/>
      <c r="B6" s="61" t="n"/>
      <c r="C6" s="62" t="inlineStr">
        <is>
          <t>Schnitt %</t>
        </is>
      </c>
      <c r="D6" s="63">
        <f>IF(D$4="","",IFERROR(D5/D$4,""))</f>
        <v/>
      </c>
      <c r="E6" s="63">
        <f>IF(E$4="","",IFERROR(E5/E$4,""))</f>
        <v/>
      </c>
      <c r="F6" s="63">
        <f>IF(F$4="","",IFERROR(F5/F$4,""))</f>
        <v/>
      </c>
      <c r="G6" s="63">
        <f>IF(G$4="","",IFERROR(G5/G$4,""))</f>
        <v/>
      </c>
      <c r="H6" s="63">
        <f>IF(H$4="","",IFERROR(H5/H$4,""))</f>
        <v/>
      </c>
      <c r="I6" s="63">
        <f>IF(I$4="","",IFERROR(I5/I$4,""))</f>
        <v/>
      </c>
      <c r="J6" s="63">
        <f>IF(J$4="","",IFERROR(J5/J$4,""))</f>
        <v/>
      </c>
      <c r="K6" s="63">
        <f>IF(K$4="","",IFERROR(K5/K$4,""))</f>
        <v/>
      </c>
      <c r="L6" s="63">
        <f>IF(L$4="","",IFERROR(L5/L$4,""))</f>
        <v/>
      </c>
      <c r="M6" s="63">
        <f>IF(M$4="","",IFERROR(M5/M$4,""))</f>
        <v/>
      </c>
      <c r="N6" s="63">
        <f>IF(N$4="","",IFERROR(N5/N$4,""))</f>
        <v/>
      </c>
      <c r="O6" s="63">
        <f>IF(O$4="","",IFERROR(O5/O$4,""))</f>
        <v/>
      </c>
      <c r="P6" s="64">
        <f>IFERROR(P5/P4,"")</f>
        <v/>
      </c>
      <c r="Q6" s="61" t="n"/>
      <c r="R6" s="61" t="n"/>
      <c r="S6" s="61" t="n"/>
    </row>
    <row r="7" ht="18" customHeight="1">
      <c r="A7" s="17" t="inlineStr">
        <is>
          <t>Nr</t>
        </is>
      </c>
      <c r="B7" s="18" t="inlineStr">
        <is>
          <t>Name</t>
        </is>
      </c>
      <c r="C7" s="18" t="inlineStr">
        <is>
          <t>Vorname</t>
        </is>
      </c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45" t="inlineStr">
        <is>
          <t>Ges.</t>
        </is>
      </c>
      <c r="Q7" s="17" t="inlineStr">
        <is>
          <t>%</t>
        </is>
      </c>
      <c r="R7" s="17" t="inlineStr">
        <is>
          <t>Punkte</t>
        </is>
      </c>
      <c r="S7" s="17" t="inlineStr">
        <is>
          <t>Note</t>
        </is>
      </c>
      <c r="T7" s="18" t="inlineStr">
        <is>
          <t>Lob / Hinweis</t>
        </is>
      </c>
    </row>
    <row r="8">
      <c r="A8" s="37" t="n">
        <v>1</v>
      </c>
      <c r="B8" s="31">
        <f>IF(INDEX(Klassenliste!$B$6:$B$40,1)=0,"",INDEX(Klassenliste!$B$6:$B$40,1))</f>
        <v/>
      </c>
      <c r="C8" s="31">
        <f>IF(INDEX(Klassenliste!$C$6:$C$40,1)=0,"",INDEX(Klassenliste!$C$6:$C$40,1))</f>
        <v/>
      </c>
      <c r="D8" s="49" t="inlineStr"/>
      <c r="E8" s="49" t="inlineStr"/>
      <c r="F8" s="49" t="inlineStr"/>
      <c r="G8" s="49" t="inlineStr"/>
      <c r="H8" s="49" t="inlineStr"/>
      <c r="I8" s="49" t="inlineStr"/>
      <c r="J8" s="49" t="inlineStr"/>
      <c r="K8" s="49" t="inlineStr"/>
      <c r="L8" s="49" t="inlineStr"/>
      <c r="M8" s="49" t="inlineStr"/>
      <c r="N8" s="49" t="inlineStr"/>
      <c r="O8" s="49" t="inlineStr"/>
      <c r="P8" s="47">
        <f>IF(COUNT(D8:O8)=0,"",SUM(D8:O8))</f>
        <v/>
      </c>
      <c r="Q8" s="65">
        <f>IF(P8="","",P8/$P$4)</f>
        <v/>
      </c>
      <c r="R8" s="50">
        <f>IF(Q8="","",LOOKUP(ROUND(Q8,6),Notentabelle!$C$4:$C$19,Notentabelle!$A$4:$A$19))</f>
        <v/>
      </c>
      <c r="S8" s="22">
        <f>IF(R8="","",INDEX(Notentabelle!$B$4:$B$19,R8+1))</f>
        <v/>
      </c>
      <c r="T8" s="66" t="inlineStr"/>
    </row>
    <row r="9">
      <c r="A9" s="37" t="n">
        <v>2</v>
      </c>
      <c r="B9" s="31">
        <f>IF(INDEX(Klassenliste!$B$6:$B$40,2)=0,"",INDEX(Klassenliste!$B$6:$B$40,2))</f>
        <v/>
      </c>
      <c r="C9" s="31">
        <f>IF(INDEX(Klassenliste!$C$6:$C$40,2)=0,"",INDEX(Klassenliste!$C$6:$C$40,2))</f>
        <v/>
      </c>
      <c r="D9" s="49" t="inlineStr"/>
      <c r="E9" s="49" t="inlineStr"/>
      <c r="F9" s="49" t="inlineStr"/>
      <c r="G9" s="49" t="inlineStr"/>
      <c r="H9" s="49" t="inlineStr"/>
      <c r="I9" s="49" t="inlineStr"/>
      <c r="J9" s="49" t="inlineStr"/>
      <c r="K9" s="49" t="inlineStr"/>
      <c r="L9" s="49" t="inlineStr"/>
      <c r="M9" s="49" t="inlineStr"/>
      <c r="N9" s="49" t="inlineStr"/>
      <c r="O9" s="49" t="inlineStr"/>
      <c r="P9" s="47">
        <f>IF(COUNT(D9:O9)=0,"",SUM(D9:O9))</f>
        <v/>
      </c>
      <c r="Q9" s="65">
        <f>IF(P9="","",P9/$P$4)</f>
        <v/>
      </c>
      <c r="R9" s="50">
        <f>IF(Q9="","",LOOKUP(ROUND(Q9,6),Notentabelle!$C$4:$C$19,Notentabelle!$A$4:$A$19))</f>
        <v/>
      </c>
      <c r="S9" s="22">
        <f>IF(R9="","",INDEX(Notentabelle!$B$4:$B$19,R9+1))</f>
        <v/>
      </c>
      <c r="T9" s="66" t="inlineStr"/>
    </row>
    <row r="10">
      <c r="A10" s="37" t="n">
        <v>3</v>
      </c>
      <c r="B10" s="31">
        <f>IF(INDEX(Klassenliste!$B$6:$B$40,3)=0,"",INDEX(Klassenliste!$B$6:$B$40,3))</f>
        <v/>
      </c>
      <c r="C10" s="31">
        <f>IF(INDEX(Klassenliste!$C$6:$C$40,3)=0,"",INDEX(Klassenliste!$C$6:$C$40,3))</f>
        <v/>
      </c>
      <c r="D10" s="49" t="inlineStr"/>
      <c r="E10" s="49" t="inlineStr"/>
      <c r="F10" s="49" t="inlineStr"/>
      <c r="G10" s="49" t="inlineStr"/>
      <c r="H10" s="49" t="inlineStr"/>
      <c r="I10" s="49" t="inlineStr"/>
      <c r="J10" s="49" t="inlineStr"/>
      <c r="K10" s="49" t="inlineStr"/>
      <c r="L10" s="49" t="inlineStr"/>
      <c r="M10" s="49" t="inlineStr"/>
      <c r="N10" s="49" t="inlineStr"/>
      <c r="O10" s="49" t="inlineStr"/>
      <c r="P10" s="47">
        <f>IF(COUNT(D10:O10)=0,"",SUM(D10:O10))</f>
        <v/>
      </c>
      <c r="Q10" s="65">
        <f>IF(P10="","",P10/$P$4)</f>
        <v/>
      </c>
      <c r="R10" s="50">
        <f>IF(Q10="","",LOOKUP(ROUND(Q10,6),Notentabelle!$C$4:$C$19,Notentabelle!$A$4:$A$19))</f>
        <v/>
      </c>
      <c r="S10" s="22">
        <f>IF(R10="","",INDEX(Notentabelle!$B$4:$B$19,R10+1))</f>
        <v/>
      </c>
      <c r="T10" s="66" t="inlineStr"/>
    </row>
    <row r="11">
      <c r="A11" s="37" t="n">
        <v>4</v>
      </c>
      <c r="B11" s="31">
        <f>IF(INDEX(Klassenliste!$B$6:$B$40,4)=0,"",INDEX(Klassenliste!$B$6:$B$40,4))</f>
        <v/>
      </c>
      <c r="C11" s="31">
        <f>IF(INDEX(Klassenliste!$C$6:$C$40,4)=0,"",INDEX(Klassenliste!$C$6:$C$40,4))</f>
        <v/>
      </c>
      <c r="D11" s="49" t="inlineStr"/>
      <c r="E11" s="49" t="inlineStr"/>
      <c r="F11" s="49" t="inlineStr"/>
      <c r="G11" s="49" t="inlineStr"/>
      <c r="H11" s="49" t="inlineStr"/>
      <c r="I11" s="49" t="inlineStr"/>
      <c r="J11" s="49" t="inlineStr"/>
      <c r="K11" s="49" t="inlineStr"/>
      <c r="L11" s="49" t="inlineStr"/>
      <c r="M11" s="49" t="inlineStr"/>
      <c r="N11" s="49" t="inlineStr"/>
      <c r="O11" s="49" t="inlineStr"/>
      <c r="P11" s="47">
        <f>IF(COUNT(D11:O11)=0,"",SUM(D11:O11))</f>
        <v/>
      </c>
      <c r="Q11" s="65">
        <f>IF(P11="","",P11/$P$4)</f>
        <v/>
      </c>
      <c r="R11" s="50">
        <f>IF(Q11="","",LOOKUP(ROUND(Q11,6),Notentabelle!$C$4:$C$19,Notentabelle!$A$4:$A$19))</f>
        <v/>
      </c>
      <c r="S11" s="22">
        <f>IF(R11="","",INDEX(Notentabelle!$B$4:$B$19,R11+1))</f>
        <v/>
      </c>
      <c r="T11" s="66" t="inlineStr"/>
    </row>
    <row r="12">
      <c r="A12" s="37" t="n">
        <v>5</v>
      </c>
      <c r="B12" s="31">
        <f>IF(INDEX(Klassenliste!$B$6:$B$40,5)=0,"",INDEX(Klassenliste!$B$6:$B$40,5))</f>
        <v/>
      </c>
      <c r="C12" s="31">
        <f>IF(INDEX(Klassenliste!$C$6:$C$40,5)=0,"",INDEX(Klassenliste!$C$6:$C$40,5))</f>
        <v/>
      </c>
      <c r="D12" s="49" t="inlineStr"/>
      <c r="E12" s="49" t="inlineStr"/>
      <c r="F12" s="49" t="inlineStr"/>
      <c r="G12" s="49" t="inlineStr"/>
      <c r="H12" s="49" t="inlineStr"/>
      <c r="I12" s="49" t="inlineStr"/>
      <c r="J12" s="49" t="inlineStr"/>
      <c r="K12" s="49" t="inlineStr"/>
      <c r="L12" s="49" t="inlineStr"/>
      <c r="M12" s="49" t="inlineStr"/>
      <c r="N12" s="49" t="inlineStr"/>
      <c r="O12" s="49" t="inlineStr"/>
      <c r="P12" s="47">
        <f>IF(COUNT(D12:O12)=0,"",SUM(D12:O12))</f>
        <v/>
      </c>
      <c r="Q12" s="65">
        <f>IF(P12="","",P12/$P$4)</f>
        <v/>
      </c>
      <c r="R12" s="50">
        <f>IF(Q12="","",LOOKUP(ROUND(Q12,6),Notentabelle!$C$4:$C$19,Notentabelle!$A$4:$A$19))</f>
        <v/>
      </c>
      <c r="S12" s="22">
        <f>IF(R12="","",INDEX(Notentabelle!$B$4:$B$19,R12+1))</f>
        <v/>
      </c>
      <c r="T12" s="66" t="inlineStr"/>
    </row>
    <row r="13">
      <c r="A13" s="37" t="n">
        <v>6</v>
      </c>
      <c r="B13" s="31">
        <f>IF(INDEX(Klassenliste!$B$6:$B$40,6)=0,"",INDEX(Klassenliste!$B$6:$B$40,6))</f>
        <v/>
      </c>
      <c r="C13" s="31">
        <f>IF(INDEX(Klassenliste!$C$6:$C$40,6)=0,"",INDEX(Klassenliste!$C$6:$C$40,6))</f>
        <v/>
      </c>
      <c r="D13" s="49" t="inlineStr"/>
      <c r="E13" s="49" t="inlineStr"/>
      <c r="F13" s="49" t="inlineStr"/>
      <c r="G13" s="49" t="inlineStr"/>
      <c r="H13" s="49" t="inlineStr"/>
      <c r="I13" s="49" t="inlineStr"/>
      <c r="J13" s="49" t="inlineStr"/>
      <c r="K13" s="49" t="inlineStr"/>
      <c r="L13" s="49" t="inlineStr"/>
      <c r="M13" s="49" t="inlineStr"/>
      <c r="N13" s="49" t="inlineStr"/>
      <c r="O13" s="49" t="inlineStr"/>
      <c r="P13" s="47">
        <f>IF(COUNT(D13:O13)=0,"",SUM(D13:O13))</f>
        <v/>
      </c>
      <c r="Q13" s="65">
        <f>IF(P13="","",P13/$P$4)</f>
        <v/>
      </c>
      <c r="R13" s="50">
        <f>IF(Q13="","",LOOKUP(ROUND(Q13,6),Notentabelle!$C$4:$C$19,Notentabelle!$A$4:$A$19))</f>
        <v/>
      </c>
      <c r="S13" s="22">
        <f>IF(R13="","",INDEX(Notentabelle!$B$4:$B$19,R13+1))</f>
        <v/>
      </c>
      <c r="T13" s="66" t="inlineStr"/>
    </row>
    <row r="14">
      <c r="A14" s="37" t="n">
        <v>7</v>
      </c>
      <c r="B14" s="31">
        <f>IF(INDEX(Klassenliste!$B$6:$B$40,7)=0,"",INDEX(Klassenliste!$B$6:$B$40,7))</f>
        <v/>
      </c>
      <c r="C14" s="31">
        <f>IF(INDEX(Klassenliste!$C$6:$C$40,7)=0,"",INDEX(Klassenliste!$C$6:$C$40,7))</f>
        <v/>
      </c>
      <c r="D14" s="49" t="inlineStr"/>
      <c r="E14" s="49" t="inlineStr"/>
      <c r="F14" s="49" t="inlineStr"/>
      <c r="G14" s="49" t="inlineStr"/>
      <c r="H14" s="49" t="inlineStr"/>
      <c r="I14" s="49" t="inlineStr"/>
      <c r="J14" s="49" t="inlineStr"/>
      <c r="K14" s="49" t="inlineStr"/>
      <c r="L14" s="49" t="inlineStr"/>
      <c r="M14" s="49" t="inlineStr"/>
      <c r="N14" s="49" t="inlineStr"/>
      <c r="O14" s="49" t="inlineStr"/>
      <c r="P14" s="47">
        <f>IF(COUNT(D14:O14)=0,"",SUM(D14:O14))</f>
        <v/>
      </c>
      <c r="Q14" s="65">
        <f>IF(P14="","",P14/$P$4)</f>
        <v/>
      </c>
      <c r="R14" s="50">
        <f>IF(Q14="","",LOOKUP(ROUND(Q14,6),Notentabelle!$C$4:$C$19,Notentabelle!$A$4:$A$19))</f>
        <v/>
      </c>
      <c r="S14" s="22">
        <f>IF(R14="","",INDEX(Notentabelle!$B$4:$B$19,R14+1))</f>
        <v/>
      </c>
      <c r="T14" s="66" t="inlineStr"/>
    </row>
    <row r="15">
      <c r="A15" s="37" t="n">
        <v>8</v>
      </c>
      <c r="B15" s="31">
        <f>IF(INDEX(Klassenliste!$B$6:$B$40,8)=0,"",INDEX(Klassenliste!$B$6:$B$40,8))</f>
        <v/>
      </c>
      <c r="C15" s="31">
        <f>IF(INDEX(Klassenliste!$C$6:$C$40,8)=0,"",INDEX(Klassenliste!$C$6:$C$40,8))</f>
        <v/>
      </c>
      <c r="D15" s="49" t="inlineStr"/>
      <c r="E15" s="49" t="inlineStr"/>
      <c r="F15" s="49" t="inlineStr"/>
      <c r="G15" s="49" t="inlineStr"/>
      <c r="H15" s="49" t="inlineStr"/>
      <c r="I15" s="49" t="inlineStr"/>
      <c r="J15" s="49" t="inlineStr"/>
      <c r="K15" s="49" t="inlineStr"/>
      <c r="L15" s="49" t="inlineStr"/>
      <c r="M15" s="49" t="inlineStr"/>
      <c r="N15" s="49" t="inlineStr"/>
      <c r="O15" s="49" t="inlineStr"/>
      <c r="P15" s="47">
        <f>IF(COUNT(D15:O15)=0,"",SUM(D15:O15))</f>
        <v/>
      </c>
      <c r="Q15" s="65">
        <f>IF(P15="","",P15/$P$4)</f>
        <v/>
      </c>
      <c r="R15" s="50">
        <f>IF(Q15="","",LOOKUP(ROUND(Q15,6),Notentabelle!$C$4:$C$19,Notentabelle!$A$4:$A$19))</f>
        <v/>
      </c>
      <c r="S15" s="22">
        <f>IF(R15="","",INDEX(Notentabelle!$B$4:$B$19,R15+1))</f>
        <v/>
      </c>
      <c r="T15" s="66" t="inlineStr"/>
    </row>
    <row r="16">
      <c r="A16" s="37" t="n">
        <v>9</v>
      </c>
      <c r="B16" s="31">
        <f>IF(INDEX(Klassenliste!$B$6:$B$40,9)=0,"",INDEX(Klassenliste!$B$6:$B$40,9))</f>
        <v/>
      </c>
      <c r="C16" s="31">
        <f>IF(INDEX(Klassenliste!$C$6:$C$40,9)=0,"",INDEX(Klassenliste!$C$6:$C$40,9))</f>
        <v/>
      </c>
      <c r="D16" s="49" t="inlineStr"/>
      <c r="E16" s="49" t="inlineStr"/>
      <c r="F16" s="49" t="inlineStr"/>
      <c r="G16" s="49" t="inlineStr"/>
      <c r="H16" s="49" t="inlineStr"/>
      <c r="I16" s="49" t="inlineStr"/>
      <c r="J16" s="49" t="inlineStr"/>
      <c r="K16" s="49" t="inlineStr"/>
      <c r="L16" s="49" t="inlineStr"/>
      <c r="M16" s="49" t="inlineStr"/>
      <c r="N16" s="49" t="inlineStr"/>
      <c r="O16" s="49" t="inlineStr"/>
      <c r="P16" s="47">
        <f>IF(COUNT(D16:O16)=0,"",SUM(D16:O16))</f>
        <v/>
      </c>
      <c r="Q16" s="65">
        <f>IF(P16="","",P16/$P$4)</f>
        <v/>
      </c>
      <c r="R16" s="50">
        <f>IF(Q16="","",LOOKUP(ROUND(Q16,6),Notentabelle!$C$4:$C$19,Notentabelle!$A$4:$A$19))</f>
        <v/>
      </c>
      <c r="S16" s="22">
        <f>IF(R16="","",INDEX(Notentabelle!$B$4:$B$19,R16+1))</f>
        <v/>
      </c>
      <c r="T16" s="66" t="inlineStr"/>
    </row>
    <row r="17">
      <c r="A17" s="37" t="n">
        <v>10</v>
      </c>
      <c r="B17" s="31">
        <f>IF(INDEX(Klassenliste!$B$6:$B$40,10)=0,"",INDEX(Klassenliste!$B$6:$B$40,10))</f>
        <v/>
      </c>
      <c r="C17" s="31">
        <f>IF(INDEX(Klassenliste!$C$6:$C$40,10)=0,"",INDEX(Klassenliste!$C$6:$C$40,10))</f>
        <v/>
      </c>
      <c r="D17" s="49" t="inlineStr"/>
      <c r="E17" s="49" t="inlineStr"/>
      <c r="F17" s="49" t="inlineStr"/>
      <c r="G17" s="49" t="inlineStr"/>
      <c r="H17" s="49" t="inlineStr"/>
      <c r="I17" s="49" t="inlineStr"/>
      <c r="J17" s="49" t="inlineStr"/>
      <c r="K17" s="49" t="inlineStr"/>
      <c r="L17" s="49" t="inlineStr"/>
      <c r="M17" s="49" t="inlineStr"/>
      <c r="N17" s="49" t="inlineStr"/>
      <c r="O17" s="49" t="inlineStr"/>
      <c r="P17" s="47">
        <f>IF(COUNT(D17:O17)=0,"",SUM(D17:O17))</f>
        <v/>
      </c>
      <c r="Q17" s="65">
        <f>IF(P17="","",P17/$P$4)</f>
        <v/>
      </c>
      <c r="R17" s="50">
        <f>IF(Q17="","",LOOKUP(ROUND(Q17,6),Notentabelle!$C$4:$C$19,Notentabelle!$A$4:$A$19))</f>
        <v/>
      </c>
      <c r="S17" s="22">
        <f>IF(R17="","",INDEX(Notentabelle!$B$4:$B$19,R17+1))</f>
        <v/>
      </c>
      <c r="T17" s="66" t="inlineStr"/>
    </row>
    <row r="18">
      <c r="A18" s="37" t="n">
        <v>11</v>
      </c>
      <c r="B18" s="31">
        <f>IF(INDEX(Klassenliste!$B$6:$B$40,11)=0,"",INDEX(Klassenliste!$B$6:$B$40,11))</f>
        <v/>
      </c>
      <c r="C18" s="31">
        <f>IF(INDEX(Klassenliste!$C$6:$C$40,11)=0,"",INDEX(Klassenliste!$C$6:$C$40,11))</f>
        <v/>
      </c>
      <c r="D18" s="49" t="inlineStr"/>
      <c r="E18" s="49" t="inlineStr"/>
      <c r="F18" s="49" t="inlineStr"/>
      <c r="G18" s="49" t="inlineStr"/>
      <c r="H18" s="49" t="inlineStr"/>
      <c r="I18" s="49" t="inlineStr"/>
      <c r="J18" s="49" t="inlineStr"/>
      <c r="K18" s="49" t="inlineStr"/>
      <c r="L18" s="49" t="inlineStr"/>
      <c r="M18" s="49" t="inlineStr"/>
      <c r="N18" s="49" t="inlineStr"/>
      <c r="O18" s="49" t="inlineStr"/>
      <c r="P18" s="47">
        <f>IF(COUNT(D18:O18)=0,"",SUM(D18:O18))</f>
        <v/>
      </c>
      <c r="Q18" s="65">
        <f>IF(P18="","",P18/$P$4)</f>
        <v/>
      </c>
      <c r="R18" s="50">
        <f>IF(Q18="","",LOOKUP(ROUND(Q18,6),Notentabelle!$C$4:$C$19,Notentabelle!$A$4:$A$19))</f>
        <v/>
      </c>
      <c r="S18" s="22">
        <f>IF(R18="","",INDEX(Notentabelle!$B$4:$B$19,R18+1))</f>
        <v/>
      </c>
      <c r="T18" s="66" t="inlineStr"/>
    </row>
    <row r="19">
      <c r="A19" s="37" t="n">
        <v>12</v>
      </c>
      <c r="B19" s="31">
        <f>IF(INDEX(Klassenliste!$B$6:$B$40,12)=0,"",INDEX(Klassenliste!$B$6:$B$40,12))</f>
        <v/>
      </c>
      <c r="C19" s="31">
        <f>IF(INDEX(Klassenliste!$C$6:$C$40,12)=0,"",INDEX(Klassenliste!$C$6:$C$40,12))</f>
        <v/>
      </c>
      <c r="D19" s="49" t="inlineStr"/>
      <c r="E19" s="49" t="inlineStr"/>
      <c r="F19" s="49" t="inlineStr"/>
      <c r="G19" s="49" t="inlineStr"/>
      <c r="H19" s="49" t="inlineStr"/>
      <c r="I19" s="49" t="inlineStr"/>
      <c r="J19" s="49" t="inlineStr"/>
      <c r="K19" s="49" t="inlineStr"/>
      <c r="L19" s="49" t="inlineStr"/>
      <c r="M19" s="49" t="inlineStr"/>
      <c r="N19" s="49" t="inlineStr"/>
      <c r="O19" s="49" t="inlineStr"/>
      <c r="P19" s="47">
        <f>IF(COUNT(D19:O19)=0,"",SUM(D19:O19))</f>
        <v/>
      </c>
      <c r="Q19" s="65">
        <f>IF(P19="","",P19/$P$4)</f>
        <v/>
      </c>
      <c r="R19" s="50">
        <f>IF(Q19="","",LOOKUP(ROUND(Q19,6),Notentabelle!$C$4:$C$19,Notentabelle!$A$4:$A$19))</f>
        <v/>
      </c>
      <c r="S19" s="22">
        <f>IF(R19="","",INDEX(Notentabelle!$B$4:$B$19,R19+1))</f>
        <v/>
      </c>
      <c r="T19" s="66" t="inlineStr"/>
    </row>
    <row r="20">
      <c r="A20" s="37" t="n">
        <v>13</v>
      </c>
      <c r="B20" s="31">
        <f>IF(INDEX(Klassenliste!$B$6:$B$40,13)=0,"",INDEX(Klassenliste!$B$6:$B$40,13))</f>
        <v/>
      </c>
      <c r="C20" s="31">
        <f>IF(INDEX(Klassenliste!$C$6:$C$40,13)=0,"",INDEX(Klassenliste!$C$6:$C$40,13))</f>
        <v/>
      </c>
      <c r="D20" s="49" t="inlineStr"/>
      <c r="E20" s="49" t="inlineStr"/>
      <c r="F20" s="49" t="inlineStr"/>
      <c r="G20" s="49" t="inlineStr"/>
      <c r="H20" s="49" t="inlineStr"/>
      <c r="I20" s="49" t="inlineStr"/>
      <c r="J20" s="49" t="inlineStr"/>
      <c r="K20" s="49" t="inlineStr"/>
      <c r="L20" s="49" t="inlineStr"/>
      <c r="M20" s="49" t="inlineStr"/>
      <c r="N20" s="49" t="inlineStr"/>
      <c r="O20" s="49" t="inlineStr"/>
      <c r="P20" s="47">
        <f>IF(COUNT(D20:O20)=0,"",SUM(D20:O20))</f>
        <v/>
      </c>
      <c r="Q20" s="65">
        <f>IF(P20="","",P20/$P$4)</f>
        <v/>
      </c>
      <c r="R20" s="50">
        <f>IF(Q20="","",LOOKUP(ROUND(Q20,6),Notentabelle!$C$4:$C$19,Notentabelle!$A$4:$A$19))</f>
        <v/>
      </c>
      <c r="S20" s="22">
        <f>IF(R20="","",INDEX(Notentabelle!$B$4:$B$19,R20+1))</f>
        <v/>
      </c>
      <c r="T20" s="66" t="inlineStr"/>
    </row>
    <row r="21">
      <c r="A21" s="37" t="n">
        <v>14</v>
      </c>
      <c r="B21" s="31">
        <f>IF(INDEX(Klassenliste!$B$6:$B$40,14)=0,"",INDEX(Klassenliste!$B$6:$B$40,14))</f>
        <v/>
      </c>
      <c r="C21" s="31">
        <f>IF(INDEX(Klassenliste!$C$6:$C$40,14)=0,"",INDEX(Klassenliste!$C$6:$C$40,14))</f>
        <v/>
      </c>
      <c r="D21" s="49" t="inlineStr"/>
      <c r="E21" s="49" t="inlineStr"/>
      <c r="F21" s="49" t="inlineStr"/>
      <c r="G21" s="49" t="inlineStr"/>
      <c r="H21" s="49" t="inlineStr"/>
      <c r="I21" s="49" t="inlineStr"/>
      <c r="J21" s="49" t="inlineStr"/>
      <c r="K21" s="49" t="inlineStr"/>
      <c r="L21" s="49" t="inlineStr"/>
      <c r="M21" s="49" t="inlineStr"/>
      <c r="N21" s="49" t="inlineStr"/>
      <c r="O21" s="49" t="inlineStr"/>
      <c r="P21" s="47">
        <f>IF(COUNT(D21:O21)=0,"",SUM(D21:O21))</f>
        <v/>
      </c>
      <c r="Q21" s="65">
        <f>IF(P21="","",P21/$P$4)</f>
        <v/>
      </c>
      <c r="R21" s="50">
        <f>IF(Q21="","",LOOKUP(ROUND(Q21,6),Notentabelle!$C$4:$C$19,Notentabelle!$A$4:$A$19))</f>
        <v/>
      </c>
      <c r="S21" s="22">
        <f>IF(R21="","",INDEX(Notentabelle!$B$4:$B$19,R21+1))</f>
        <v/>
      </c>
      <c r="T21" s="66" t="inlineStr"/>
    </row>
    <row r="22">
      <c r="A22" s="37" t="n">
        <v>15</v>
      </c>
      <c r="B22" s="31">
        <f>IF(INDEX(Klassenliste!$B$6:$B$40,15)=0,"",INDEX(Klassenliste!$B$6:$B$40,15))</f>
        <v/>
      </c>
      <c r="C22" s="31">
        <f>IF(INDEX(Klassenliste!$C$6:$C$40,15)=0,"",INDEX(Klassenliste!$C$6:$C$40,15))</f>
        <v/>
      </c>
      <c r="D22" s="49" t="inlineStr"/>
      <c r="E22" s="49" t="inlineStr"/>
      <c r="F22" s="49" t="inlineStr"/>
      <c r="G22" s="49" t="inlineStr"/>
      <c r="H22" s="49" t="inlineStr"/>
      <c r="I22" s="49" t="inlineStr"/>
      <c r="J22" s="49" t="inlineStr"/>
      <c r="K22" s="49" t="inlineStr"/>
      <c r="L22" s="49" t="inlineStr"/>
      <c r="M22" s="49" t="inlineStr"/>
      <c r="N22" s="49" t="inlineStr"/>
      <c r="O22" s="49" t="inlineStr"/>
      <c r="P22" s="47">
        <f>IF(COUNT(D22:O22)=0,"",SUM(D22:O22))</f>
        <v/>
      </c>
      <c r="Q22" s="65">
        <f>IF(P22="","",P22/$P$4)</f>
        <v/>
      </c>
      <c r="R22" s="50">
        <f>IF(Q22="","",LOOKUP(ROUND(Q22,6),Notentabelle!$C$4:$C$19,Notentabelle!$A$4:$A$19))</f>
        <v/>
      </c>
      <c r="S22" s="22">
        <f>IF(R22="","",INDEX(Notentabelle!$B$4:$B$19,R22+1))</f>
        <v/>
      </c>
      <c r="T22" s="66" t="inlineStr"/>
    </row>
    <row r="23">
      <c r="A23" s="37" t="n">
        <v>16</v>
      </c>
      <c r="B23" s="31">
        <f>IF(INDEX(Klassenliste!$B$6:$B$40,16)=0,"",INDEX(Klassenliste!$B$6:$B$40,16))</f>
        <v/>
      </c>
      <c r="C23" s="31">
        <f>IF(INDEX(Klassenliste!$C$6:$C$40,16)=0,"",INDEX(Klassenliste!$C$6:$C$40,16))</f>
        <v/>
      </c>
      <c r="D23" s="49" t="inlineStr"/>
      <c r="E23" s="49" t="inlineStr"/>
      <c r="F23" s="49" t="inlineStr"/>
      <c r="G23" s="49" t="inlineStr"/>
      <c r="H23" s="49" t="inlineStr"/>
      <c r="I23" s="49" t="inlineStr"/>
      <c r="J23" s="49" t="inlineStr"/>
      <c r="K23" s="49" t="inlineStr"/>
      <c r="L23" s="49" t="inlineStr"/>
      <c r="M23" s="49" t="inlineStr"/>
      <c r="N23" s="49" t="inlineStr"/>
      <c r="O23" s="49" t="inlineStr"/>
      <c r="P23" s="47">
        <f>IF(COUNT(D23:O23)=0,"",SUM(D23:O23))</f>
        <v/>
      </c>
      <c r="Q23" s="65">
        <f>IF(P23="","",P23/$P$4)</f>
        <v/>
      </c>
      <c r="R23" s="50">
        <f>IF(Q23="","",LOOKUP(ROUND(Q23,6),Notentabelle!$C$4:$C$19,Notentabelle!$A$4:$A$19))</f>
        <v/>
      </c>
      <c r="S23" s="22">
        <f>IF(R23="","",INDEX(Notentabelle!$B$4:$B$19,R23+1))</f>
        <v/>
      </c>
      <c r="T23" s="66" t="inlineStr"/>
    </row>
    <row r="24">
      <c r="A24" s="37" t="n">
        <v>17</v>
      </c>
      <c r="B24" s="31">
        <f>IF(INDEX(Klassenliste!$B$6:$B$40,17)=0,"",INDEX(Klassenliste!$B$6:$B$40,17))</f>
        <v/>
      </c>
      <c r="C24" s="31">
        <f>IF(INDEX(Klassenliste!$C$6:$C$40,17)=0,"",INDEX(Klassenliste!$C$6:$C$40,17))</f>
        <v/>
      </c>
      <c r="D24" s="49" t="inlineStr"/>
      <c r="E24" s="49" t="inlineStr"/>
      <c r="F24" s="49" t="inlineStr"/>
      <c r="G24" s="49" t="inlineStr"/>
      <c r="H24" s="49" t="inlineStr"/>
      <c r="I24" s="49" t="inlineStr"/>
      <c r="J24" s="49" t="inlineStr"/>
      <c r="K24" s="49" t="inlineStr"/>
      <c r="L24" s="49" t="inlineStr"/>
      <c r="M24" s="49" t="inlineStr"/>
      <c r="N24" s="49" t="inlineStr"/>
      <c r="O24" s="49" t="inlineStr"/>
      <c r="P24" s="47">
        <f>IF(COUNT(D24:O24)=0,"",SUM(D24:O24))</f>
        <v/>
      </c>
      <c r="Q24" s="65">
        <f>IF(P24="","",P24/$P$4)</f>
        <v/>
      </c>
      <c r="R24" s="50">
        <f>IF(Q24="","",LOOKUP(ROUND(Q24,6),Notentabelle!$C$4:$C$19,Notentabelle!$A$4:$A$19))</f>
        <v/>
      </c>
      <c r="S24" s="22">
        <f>IF(R24="","",INDEX(Notentabelle!$B$4:$B$19,R24+1))</f>
        <v/>
      </c>
      <c r="T24" s="66" t="inlineStr"/>
    </row>
    <row r="25">
      <c r="A25" s="37" t="n">
        <v>18</v>
      </c>
      <c r="B25" s="31">
        <f>IF(INDEX(Klassenliste!$B$6:$B$40,18)=0,"",INDEX(Klassenliste!$B$6:$B$40,18))</f>
        <v/>
      </c>
      <c r="C25" s="31">
        <f>IF(INDEX(Klassenliste!$C$6:$C$40,18)=0,"",INDEX(Klassenliste!$C$6:$C$40,18))</f>
        <v/>
      </c>
      <c r="D25" s="49" t="inlineStr"/>
      <c r="E25" s="49" t="inlineStr"/>
      <c r="F25" s="49" t="inlineStr"/>
      <c r="G25" s="49" t="inlineStr"/>
      <c r="H25" s="49" t="inlineStr"/>
      <c r="I25" s="49" t="inlineStr"/>
      <c r="J25" s="49" t="inlineStr"/>
      <c r="K25" s="49" t="inlineStr"/>
      <c r="L25" s="49" t="inlineStr"/>
      <c r="M25" s="49" t="inlineStr"/>
      <c r="N25" s="49" t="inlineStr"/>
      <c r="O25" s="49" t="inlineStr"/>
      <c r="P25" s="47">
        <f>IF(COUNT(D25:O25)=0,"",SUM(D25:O25))</f>
        <v/>
      </c>
      <c r="Q25" s="65">
        <f>IF(P25="","",P25/$P$4)</f>
        <v/>
      </c>
      <c r="R25" s="50">
        <f>IF(Q25="","",LOOKUP(ROUND(Q25,6),Notentabelle!$C$4:$C$19,Notentabelle!$A$4:$A$19))</f>
        <v/>
      </c>
      <c r="S25" s="22">
        <f>IF(R25="","",INDEX(Notentabelle!$B$4:$B$19,R25+1))</f>
        <v/>
      </c>
      <c r="T25" s="66" t="inlineStr"/>
    </row>
    <row r="26">
      <c r="A26" s="37" t="n">
        <v>19</v>
      </c>
      <c r="B26" s="31">
        <f>IF(INDEX(Klassenliste!$B$6:$B$40,19)=0,"",INDEX(Klassenliste!$B$6:$B$40,19))</f>
        <v/>
      </c>
      <c r="C26" s="31">
        <f>IF(INDEX(Klassenliste!$C$6:$C$40,19)=0,"",INDEX(Klassenliste!$C$6:$C$40,19))</f>
        <v/>
      </c>
      <c r="D26" s="49" t="inlineStr"/>
      <c r="E26" s="49" t="inlineStr"/>
      <c r="F26" s="49" t="inlineStr"/>
      <c r="G26" s="49" t="inlineStr"/>
      <c r="H26" s="49" t="inlineStr"/>
      <c r="I26" s="49" t="inlineStr"/>
      <c r="J26" s="49" t="inlineStr"/>
      <c r="K26" s="49" t="inlineStr"/>
      <c r="L26" s="49" t="inlineStr"/>
      <c r="M26" s="49" t="inlineStr"/>
      <c r="N26" s="49" t="inlineStr"/>
      <c r="O26" s="49" t="inlineStr"/>
      <c r="P26" s="47">
        <f>IF(COUNT(D26:O26)=0,"",SUM(D26:O26))</f>
        <v/>
      </c>
      <c r="Q26" s="65">
        <f>IF(P26="","",P26/$P$4)</f>
        <v/>
      </c>
      <c r="R26" s="50">
        <f>IF(Q26="","",LOOKUP(ROUND(Q26,6),Notentabelle!$C$4:$C$19,Notentabelle!$A$4:$A$19))</f>
        <v/>
      </c>
      <c r="S26" s="22">
        <f>IF(R26="","",INDEX(Notentabelle!$B$4:$B$19,R26+1))</f>
        <v/>
      </c>
      <c r="T26" s="66" t="inlineStr"/>
    </row>
    <row r="27">
      <c r="A27" s="37" t="n">
        <v>20</v>
      </c>
      <c r="B27" s="31">
        <f>IF(INDEX(Klassenliste!$B$6:$B$40,20)=0,"",INDEX(Klassenliste!$B$6:$B$40,20))</f>
        <v/>
      </c>
      <c r="C27" s="31">
        <f>IF(INDEX(Klassenliste!$C$6:$C$40,20)=0,"",INDEX(Klassenliste!$C$6:$C$40,20))</f>
        <v/>
      </c>
      <c r="D27" s="49" t="inlineStr"/>
      <c r="E27" s="49" t="inlineStr"/>
      <c r="F27" s="49" t="inlineStr"/>
      <c r="G27" s="49" t="inlineStr"/>
      <c r="H27" s="49" t="inlineStr"/>
      <c r="I27" s="49" t="inlineStr"/>
      <c r="J27" s="49" t="inlineStr"/>
      <c r="K27" s="49" t="inlineStr"/>
      <c r="L27" s="49" t="inlineStr"/>
      <c r="M27" s="49" t="inlineStr"/>
      <c r="N27" s="49" t="inlineStr"/>
      <c r="O27" s="49" t="inlineStr"/>
      <c r="P27" s="47">
        <f>IF(COUNT(D27:O27)=0,"",SUM(D27:O27))</f>
        <v/>
      </c>
      <c r="Q27" s="65">
        <f>IF(P27="","",P27/$P$4)</f>
        <v/>
      </c>
      <c r="R27" s="50">
        <f>IF(Q27="","",LOOKUP(ROUND(Q27,6),Notentabelle!$C$4:$C$19,Notentabelle!$A$4:$A$19))</f>
        <v/>
      </c>
      <c r="S27" s="22">
        <f>IF(R27="","",INDEX(Notentabelle!$B$4:$B$19,R27+1))</f>
        <v/>
      </c>
      <c r="T27" s="66" t="inlineStr"/>
    </row>
    <row r="28">
      <c r="A28" s="37" t="n">
        <v>21</v>
      </c>
      <c r="B28" s="31">
        <f>IF(INDEX(Klassenliste!$B$6:$B$40,21)=0,"",INDEX(Klassenliste!$B$6:$B$40,21))</f>
        <v/>
      </c>
      <c r="C28" s="31">
        <f>IF(INDEX(Klassenliste!$C$6:$C$40,21)=0,"",INDEX(Klassenliste!$C$6:$C$40,21))</f>
        <v/>
      </c>
      <c r="D28" s="49" t="inlineStr"/>
      <c r="E28" s="49" t="inlineStr"/>
      <c r="F28" s="49" t="inlineStr"/>
      <c r="G28" s="49" t="inlineStr"/>
      <c r="H28" s="49" t="inlineStr"/>
      <c r="I28" s="49" t="inlineStr"/>
      <c r="J28" s="49" t="inlineStr"/>
      <c r="K28" s="49" t="inlineStr"/>
      <c r="L28" s="49" t="inlineStr"/>
      <c r="M28" s="49" t="inlineStr"/>
      <c r="N28" s="49" t="inlineStr"/>
      <c r="O28" s="49" t="inlineStr"/>
      <c r="P28" s="47">
        <f>IF(COUNT(D28:O28)=0,"",SUM(D28:O28))</f>
        <v/>
      </c>
      <c r="Q28" s="65">
        <f>IF(P28="","",P28/$P$4)</f>
        <v/>
      </c>
      <c r="R28" s="50">
        <f>IF(Q28="","",LOOKUP(ROUND(Q28,6),Notentabelle!$C$4:$C$19,Notentabelle!$A$4:$A$19))</f>
        <v/>
      </c>
      <c r="S28" s="22">
        <f>IF(R28="","",INDEX(Notentabelle!$B$4:$B$19,R28+1))</f>
        <v/>
      </c>
      <c r="T28" s="66" t="inlineStr"/>
    </row>
    <row r="29">
      <c r="A29" s="37" t="n">
        <v>22</v>
      </c>
      <c r="B29" s="31">
        <f>IF(INDEX(Klassenliste!$B$6:$B$40,22)=0,"",INDEX(Klassenliste!$B$6:$B$40,22))</f>
        <v/>
      </c>
      <c r="C29" s="31">
        <f>IF(INDEX(Klassenliste!$C$6:$C$40,22)=0,"",INDEX(Klassenliste!$C$6:$C$40,22))</f>
        <v/>
      </c>
      <c r="D29" s="49" t="inlineStr"/>
      <c r="E29" s="49" t="inlineStr"/>
      <c r="F29" s="49" t="inlineStr"/>
      <c r="G29" s="49" t="inlineStr"/>
      <c r="H29" s="49" t="inlineStr"/>
      <c r="I29" s="49" t="inlineStr"/>
      <c r="J29" s="49" t="inlineStr"/>
      <c r="K29" s="49" t="inlineStr"/>
      <c r="L29" s="49" t="inlineStr"/>
      <c r="M29" s="49" t="inlineStr"/>
      <c r="N29" s="49" t="inlineStr"/>
      <c r="O29" s="49" t="inlineStr"/>
      <c r="P29" s="47">
        <f>IF(COUNT(D29:O29)=0,"",SUM(D29:O29))</f>
        <v/>
      </c>
      <c r="Q29" s="65">
        <f>IF(P29="","",P29/$P$4)</f>
        <v/>
      </c>
      <c r="R29" s="50">
        <f>IF(Q29="","",LOOKUP(ROUND(Q29,6),Notentabelle!$C$4:$C$19,Notentabelle!$A$4:$A$19))</f>
        <v/>
      </c>
      <c r="S29" s="22">
        <f>IF(R29="","",INDEX(Notentabelle!$B$4:$B$19,R29+1))</f>
        <v/>
      </c>
      <c r="T29" s="66" t="inlineStr"/>
    </row>
    <row r="30">
      <c r="A30" s="37" t="n">
        <v>23</v>
      </c>
      <c r="B30" s="31">
        <f>IF(INDEX(Klassenliste!$B$6:$B$40,23)=0,"",INDEX(Klassenliste!$B$6:$B$40,23))</f>
        <v/>
      </c>
      <c r="C30" s="31">
        <f>IF(INDEX(Klassenliste!$C$6:$C$40,23)=0,"",INDEX(Klassenliste!$C$6:$C$40,23))</f>
        <v/>
      </c>
      <c r="D30" s="49" t="inlineStr"/>
      <c r="E30" s="49" t="inlineStr"/>
      <c r="F30" s="49" t="inlineStr"/>
      <c r="G30" s="49" t="inlineStr"/>
      <c r="H30" s="49" t="inlineStr"/>
      <c r="I30" s="49" t="inlineStr"/>
      <c r="J30" s="49" t="inlineStr"/>
      <c r="K30" s="49" t="inlineStr"/>
      <c r="L30" s="49" t="inlineStr"/>
      <c r="M30" s="49" t="inlineStr"/>
      <c r="N30" s="49" t="inlineStr"/>
      <c r="O30" s="49" t="inlineStr"/>
      <c r="P30" s="47">
        <f>IF(COUNT(D30:O30)=0,"",SUM(D30:O30))</f>
        <v/>
      </c>
      <c r="Q30" s="65">
        <f>IF(P30="","",P30/$P$4)</f>
        <v/>
      </c>
      <c r="R30" s="50">
        <f>IF(Q30="","",LOOKUP(ROUND(Q30,6),Notentabelle!$C$4:$C$19,Notentabelle!$A$4:$A$19))</f>
        <v/>
      </c>
      <c r="S30" s="22">
        <f>IF(R30="","",INDEX(Notentabelle!$B$4:$B$19,R30+1))</f>
        <v/>
      </c>
      <c r="T30" s="66" t="inlineStr"/>
    </row>
    <row r="31">
      <c r="A31" s="37" t="n">
        <v>24</v>
      </c>
      <c r="B31" s="31">
        <f>IF(INDEX(Klassenliste!$B$6:$B$40,24)=0,"",INDEX(Klassenliste!$B$6:$B$40,24))</f>
        <v/>
      </c>
      <c r="C31" s="31">
        <f>IF(INDEX(Klassenliste!$C$6:$C$40,24)=0,"",INDEX(Klassenliste!$C$6:$C$40,24))</f>
        <v/>
      </c>
      <c r="D31" s="49" t="inlineStr"/>
      <c r="E31" s="49" t="inlineStr"/>
      <c r="F31" s="49" t="inlineStr"/>
      <c r="G31" s="49" t="inlineStr"/>
      <c r="H31" s="49" t="inlineStr"/>
      <c r="I31" s="49" t="inlineStr"/>
      <c r="J31" s="49" t="inlineStr"/>
      <c r="K31" s="49" t="inlineStr"/>
      <c r="L31" s="49" t="inlineStr"/>
      <c r="M31" s="49" t="inlineStr"/>
      <c r="N31" s="49" t="inlineStr"/>
      <c r="O31" s="49" t="inlineStr"/>
      <c r="P31" s="47">
        <f>IF(COUNT(D31:O31)=0,"",SUM(D31:O31))</f>
        <v/>
      </c>
      <c r="Q31" s="65">
        <f>IF(P31="","",P31/$P$4)</f>
        <v/>
      </c>
      <c r="R31" s="50">
        <f>IF(Q31="","",LOOKUP(ROUND(Q31,6),Notentabelle!$C$4:$C$19,Notentabelle!$A$4:$A$19))</f>
        <v/>
      </c>
      <c r="S31" s="22">
        <f>IF(R31="","",INDEX(Notentabelle!$B$4:$B$19,R31+1))</f>
        <v/>
      </c>
      <c r="T31" s="66" t="inlineStr"/>
    </row>
    <row r="32">
      <c r="A32" s="37" t="n">
        <v>25</v>
      </c>
      <c r="B32" s="31">
        <f>IF(INDEX(Klassenliste!$B$6:$B$40,25)=0,"",INDEX(Klassenliste!$B$6:$B$40,25))</f>
        <v/>
      </c>
      <c r="C32" s="31">
        <f>IF(INDEX(Klassenliste!$C$6:$C$40,25)=0,"",INDEX(Klassenliste!$C$6:$C$40,25))</f>
        <v/>
      </c>
      <c r="D32" s="49" t="inlineStr"/>
      <c r="E32" s="49" t="inlineStr"/>
      <c r="F32" s="49" t="inlineStr"/>
      <c r="G32" s="49" t="inlineStr"/>
      <c r="H32" s="49" t="inlineStr"/>
      <c r="I32" s="49" t="inlineStr"/>
      <c r="J32" s="49" t="inlineStr"/>
      <c r="K32" s="49" t="inlineStr"/>
      <c r="L32" s="49" t="inlineStr"/>
      <c r="M32" s="49" t="inlineStr"/>
      <c r="N32" s="49" t="inlineStr"/>
      <c r="O32" s="49" t="inlineStr"/>
      <c r="P32" s="47">
        <f>IF(COUNT(D32:O32)=0,"",SUM(D32:O32))</f>
        <v/>
      </c>
      <c r="Q32" s="65">
        <f>IF(P32="","",P32/$P$4)</f>
        <v/>
      </c>
      <c r="R32" s="50">
        <f>IF(Q32="","",LOOKUP(ROUND(Q32,6),Notentabelle!$C$4:$C$19,Notentabelle!$A$4:$A$19))</f>
        <v/>
      </c>
      <c r="S32" s="22">
        <f>IF(R32="","",INDEX(Notentabelle!$B$4:$B$19,R32+1))</f>
        <v/>
      </c>
      <c r="T32" s="66" t="inlineStr"/>
    </row>
    <row r="33">
      <c r="A33" s="37" t="n">
        <v>26</v>
      </c>
      <c r="B33" s="31">
        <f>IF(INDEX(Klassenliste!$B$6:$B$40,26)=0,"",INDEX(Klassenliste!$B$6:$B$40,26))</f>
        <v/>
      </c>
      <c r="C33" s="31">
        <f>IF(INDEX(Klassenliste!$C$6:$C$40,26)=0,"",INDEX(Klassenliste!$C$6:$C$40,26))</f>
        <v/>
      </c>
      <c r="D33" s="49" t="inlineStr"/>
      <c r="E33" s="49" t="inlineStr"/>
      <c r="F33" s="49" t="inlineStr"/>
      <c r="G33" s="49" t="inlineStr"/>
      <c r="H33" s="49" t="inlineStr"/>
      <c r="I33" s="49" t="inlineStr"/>
      <c r="J33" s="49" t="inlineStr"/>
      <c r="K33" s="49" t="inlineStr"/>
      <c r="L33" s="49" t="inlineStr"/>
      <c r="M33" s="49" t="inlineStr"/>
      <c r="N33" s="49" t="inlineStr"/>
      <c r="O33" s="49" t="inlineStr"/>
      <c r="P33" s="47">
        <f>IF(COUNT(D33:O33)=0,"",SUM(D33:O33))</f>
        <v/>
      </c>
      <c r="Q33" s="65">
        <f>IF(P33="","",P33/$P$4)</f>
        <v/>
      </c>
      <c r="R33" s="50">
        <f>IF(Q33="","",LOOKUP(ROUND(Q33,6),Notentabelle!$C$4:$C$19,Notentabelle!$A$4:$A$19))</f>
        <v/>
      </c>
      <c r="S33" s="22">
        <f>IF(R33="","",INDEX(Notentabelle!$B$4:$B$19,R33+1))</f>
        <v/>
      </c>
      <c r="T33" s="66" t="inlineStr"/>
    </row>
    <row r="34">
      <c r="A34" s="37" t="n">
        <v>27</v>
      </c>
      <c r="B34" s="31">
        <f>IF(INDEX(Klassenliste!$B$6:$B$40,27)=0,"",INDEX(Klassenliste!$B$6:$B$40,27))</f>
        <v/>
      </c>
      <c r="C34" s="31">
        <f>IF(INDEX(Klassenliste!$C$6:$C$40,27)=0,"",INDEX(Klassenliste!$C$6:$C$40,27))</f>
        <v/>
      </c>
      <c r="D34" s="49" t="inlineStr"/>
      <c r="E34" s="49" t="inlineStr"/>
      <c r="F34" s="49" t="inlineStr"/>
      <c r="G34" s="49" t="inlineStr"/>
      <c r="H34" s="49" t="inlineStr"/>
      <c r="I34" s="49" t="inlineStr"/>
      <c r="J34" s="49" t="inlineStr"/>
      <c r="K34" s="49" t="inlineStr"/>
      <c r="L34" s="49" t="inlineStr"/>
      <c r="M34" s="49" t="inlineStr"/>
      <c r="N34" s="49" t="inlineStr"/>
      <c r="O34" s="49" t="inlineStr"/>
      <c r="P34" s="47">
        <f>IF(COUNT(D34:O34)=0,"",SUM(D34:O34))</f>
        <v/>
      </c>
      <c r="Q34" s="65">
        <f>IF(P34="","",P34/$P$4)</f>
        <v/>
      </c>
      <c r="R34" s="50">
        <f>IF(Q34="","",LOOKUP(ROUND(Q34,6),Notentabelle!$C$4:$C$19,Notentabelle!$A$4:$A$19))</f>
        <v/>
      </c>
      <c r="S34" s="22">
        <f>IF(R34="","",INDEX(Notentabelle!$B$4:$B$19,R34+1))</f>
        <v/>
      </c>
      <c r="T34" s="66" t="inlineStr"/>
    </row>
    <row r="35">
      <c r="A35" s="37" t="n">
        <v>28</v>
      </c>
      <c r="B35" s="31">
        <f>IF(INDEX(Klassenliste!$B$6:$B$40,28)=0,"",INDEX(Klassenliste!$B$6:$B$40,28))</f>
        <v/>
      </c>
      <c r="C35" s="31">
        <f>IF(INDEX(Klassenliste!$C$6:$C$40,28)=0,"",INDEX(Klassenliste!$C$6:$C$40,28))</f>
        <v/>
      </c>
      <c r="D35" s="49" t="inlineStr"/>
      <c r="E35" s="49" t="inlineStr"/>
      <c r="F35" s="49" t="inlineStr"/>
      <c r="G35" s="49" t="inlineStr"/>
      <c r="H35" s="49" t="inlineStr"/>
      <c r="I35" s="49" t="inlineStr"/>
      <c r="J35" s="49" t="inlineStr"/>
      <c r="K35" s="49" t="inlineStr"/>
      <c r="L35" s="49" t="inlineStr"/>
      <c r="M35" s="49" t="inlineStr"/>
      <c r="N35" s="49" t="inlineStr"/>
      <c r="O35" s="49" t="inlineStr"/>
      <c r="P35" s="47">
        <f>IF(COUNT(D35:O35)=0,"",SUM(D35:O35))</f>
        <v/>
      </c>
      <c r="Q35" s="65">
        <f>IF(P35="","",P35/$P$4)</f>
        <v/>
      </c>
      <c r="R35" s="50">
        <f>IF(Q35="","",LOOKUP(ROUND(Q35,6),Notentabelle!$C$4:$C$19,Notentabelle!$A$4:$A$19))</f>
        <v/>
      </c>
      <c r="S35" s="22">
        <f>IF(R35="","",INDEX(Notentabelle!$B$4:$B$19,R35+1))</f>
        <v/>
      </c>
      <c r="T35" s="66" t="inlineStr"/>
    </row>
    <row r="36">
      <c r="A36" s="37" t="n">
        <v>29</v>
      </c>
      <c r="B36" s="31">
        <f>IF(INDEX(Klassenliste!$B$6:$B$40,29)=0,"",INDEX(Klassenliste!$B$6:$B$40,29))</f>
        <v/>
      </c>
      <c r="C36" s="31">
        <f>IF(INDEX(Klassenliste!$C$6:$C$40,29)=0,"",INDEX(Klassenliste!$C$6:$C$40,29))</f>
        <v/>
      </c>
      <c r="D36" s="49" t="inlineStr"/>
      <c r="E36" s="49" t="inlineStr"/>
      <c r="F36" s="49" t="inlineStr"/>
      <c r="G36" s="49" t="inlineStr"/>
      <c r="H36" s="49" t="inlineStr"/>
      <c r="I36" s="49" t="inlineStr"/>
      <c r="J36" s="49" t="inlineStr"/>
      <c r="K36" s="49" t="inlineStr"/>
      <c r="L36" s="49" t="inlineStr"/>
      <c r="M36" s="49" t="inlineStr"/>
      <c r="N36" s="49" t="inlineStr"/>
      <c r="O36" s="49" t="inlineStr"/>
      <c r="P36" s="47">
        <f>IF(COUNT(D36:O36)=0,"",SUM(D36:O36))</f>
        <v/>
      </c>
      <c r="Q36" s="65">
        <f>IF(P36="","",P36/$P$4)</f>
        <v/>
      </c>
      <c r="R36" s="50">
        <f>IF(Q36="","",LOOKUP(ROUND(Q36,6),Notentabelle!$C$4:$C$19,Notentabelle!$A$4:$A$19))</f>
        <v/>
      </c>
      <c r="S36" s="22">
        <f>IF(R36="","",INDEX(Notentabelle!$B$4:$B$19,R36+1))</f>
        <v/>
      </c>
      <c r="T36" s="66" t="inlineStr"/>
    </row>
    <row r="37">
      <c r="A37" s="37" t="n">
        <v>30</v>
      </c>
      <c r="B37" s="31">
        <f>IF(INDEX(Klassenliste!$B$6:$B$40,30)=0,"",INDEX(Klassenliste!$B$6:$B$40,30))</f>
        <v/>
      </c>
      <c r="C37" s="31">
        <f>IF(INDEX(Klassenliste!$C$6:$C$40,30)=0,"",INDEX(Klassenliste!$C$6:$C$40,30))</f>
        <v/>
      </c>
      <c r="D37" s="49" t="inlineStr"/>
      <c r="E37" s="49" t="inlineStr"/>
      <c r="F37" s="49" t="inlineStr"/>
      <c r="G37" s="49" t="inlineStr"/>
      <c r="H37" s="49" t="inlineStr"/>
      <c r="I37" s="49" t="inlineStr"/>
      <c r="J37" s="49" t="inlineStr"/>
      <c r="K37" s="49" t="inlineStr"/>
      <c r="L37" s="49" t="inlineStr"/>
      <c r="M37" s="49" t="inlineStr"/>
      <c r="N37" s="49" t="inlineStr"/>
      <c r="O37" s="49" t="inlineStr"/>
      <c r="P37" s="47">
        <f>IF(COUNT(D37:O37)=0,"",SUM(D37:O37))</f>
        <v/>
      </c>
      <c r="Q37" s="65">
        <f>IF(P37="","",P37/$P$4)</f>
        <v/>
      </c>
      <c r="R37" s="50">
        <f>IF(Q37="","",LOOKUP(ROUND(Q37,6),Notentabelle!$C$4:$C$19,Notentabelle!$A$4:$A$19))</f>
        <v/>
      </c>
      <c r="S37" s="22">
        <f>IF(R37="","",INDEX(Notentabelle!$B$4:$B$19,R37+1))</f>
        <v/>
      </c>
      <c r="T37" s="66" t="inlineStr"/>
    </row>
    <row r="38">
      <c r="A38" s="37" t="n">
        <v>31</v>
      </c>
      <c r="B38" s="31">
        <f>IF(INDEX(Klassenliste!$B$6:$B$40,31)=0,"",INDEX(Klassenliste!$B$6:$B$40,31))</f>
        <v/>
      </c>
      <c r="C38" s="31">
        <f>IF(INDEX(Klassenliste!$C$6:$C$40,31)=0,"",INDEX(Klassenliste!$C$6:$C$40,31))</f>
        <v/>
      </c>
      <c r="D38" s="49" t="inlineStr"/>
      <c r="E38" s="49" t="inlineStr"/>
      <c r="F38" s="49" t="inlineStr"/>
      <c r="G38" s="49" t="inlineStr"/>
      <c r="H38" s="49" t="inlineStr"/>
      <c r="I38" s="49" t="inlineStr"/>
      <c r="J38" s="49" t="inlineStr"/>
      <c r="K38" s="49" t="inlineStr"/>
      <c r="L38" s="49" t="inlineStr"/>
      <c r="M38" s="49" t="inlineStr"/>
      <c r="N38" s="49" t="inlineStr"/>
      <c r="O38" s="49" t="inlineStr"/>
      <c r="P38" s="47">
        <f>IF(COUNT(D38:O38)=0,"",SUM(D38:O38))</f>
        <v/>
      </c>
      <c r="Q38" s="65">
        <f>IF(P38="","",P38/$P$4)</f>
        <v/>
      </c>
      <c r="R38" s="50">
        <f>IF(Q38="","",LOOKUP(ROUND(Q38,6),Notentabelle!$C$4:$C$19,Notentabelle!$A$4:$A$19))</f>
        <v/>
      </c>
      <c r="S38" s="22">
        <f>IF(R38="","",INDEX(Notentabelle!$B$4:$B$19,R38+1))</f>
        <v/>
      </c>
      <c r="T38" s="66" t="inlineStr"/>
    </row>
    <row r="39">
      <c r="A39" s="37" t="n">
        <v>32</v>
      </c>
      <c r="B39" s="31">
        <f>IF(INDEX(Klassenliste!$B$6:$B$40,32)=0,"",INDEX(Klassenliste!$B$6:$B$40,32))</f>
        <v/>
      </c>
      <c r="C39" s="31">
        <f>IF(INDEX(Klassenliste!$C$6:$C$40,32)=0,"",INDEX(Klassenliste!$C$6:$C$40,32))</f>
        <v/>
      </c>
      <c r="D39" s="49" t="inlineStr"/>
      <c r="E39" s="49" t="inlineStr"/>
      <c r="F39" s="49" t="inlineStr"/>
      <c r="G39" s="49" t="inlineStr"/>
      <c r="H39" s="49" t="inlineStr"/>
      <c r="I39" s="49" t="inlineStr"/>
      <c r="J39" s="49" t="inlineStr"/>
      <c r="K39" s="49" t="inlineStr"/>
      <c r="L39" s="49" t="inlineStr"/>
      <c r="M39" s="49" t="inlineStr"/>
      <c r="N39" s="49" t="inlineStr"/>
      <c r="O39" s="49" t="inlineStr"/>
      <c r="P39" s="47">
        <f>IF(COUNT(D39:O39)=0,"",SUM(D39:O39))</f>
        <v/>
      </c>
      <c r="Q39" s="65">
        <f>IF(P39="","",P39/$P$4)</f>
        <v/>
      </c>
      <c r="R39" s="50">
        <f>IF(Q39="","",LOOKUP(ROUND(Q39,6),Notentabelle!$C$4:$C$19,Notentabelle!$A$4:$A$19))</f>
        <v/>
      </c>
      <c r="S39" s="22">
        <f>IF(R39="","",INDEX(Notentabelle!$B$4:$B$19,R39+1))</f>
        <v/>
      </c>
      <c r="T39" s="66" t="inlineStr"/>
    </row>
    <row r="40">
      <c r="A40" s="37" t="n">
        <v>33</v>
      </c>
      <c r="B40" s="31">
        <f>IF(INDEX(Klassenliste!$B$6:$B$40,33)=0,"",INDEX(Klassenliste!$B$6:$B$40,33))</f>
        <v/>
      </c>
      <c r="C40" s="31">
        <f>IF(INDEX(Klassenliste!$C$6:$C$40,33)=0,"",INDEX(Klassenliste!$C$6:$C$40,33))</f>
        <v/>
      </c>
      <c r="D40" s="49" t="inlineStr"/>
      <c r="E40" s="49" t="inlineStr"/>
      <c r="F40" s="49" t="inlineStr"/>
      <c r="G40" s="49" t="inlineStr"/>
      <c r="H40" s="49" t="inlineStr"/>
      <c r="I40" s="49" t="inlineStr"/>
      <c r="J40" s="49" t="inlineStr"/>
      <c r="K40" s="49" t="inlineStr"/>
      <c r="L40" s="49" t="inlineStr"/>
      <c r="M40" s="49" t="inlineStr"/>
      <c r="N40" s="49" t="inlineStr"/>
      <c r="O40" s="49" t="inlineStr"/>
      <c r="P40" s="47">
        <f>IF(COUNT(D40:O40)=0,"",SUM(D40:O40))</f>
        <v/>
      </c>
      <c r="Q40" s="65">
        <f>IF(P40="","",P40/$P$4)</f>
        <v/>
      </c>
      <c r="R40" s="50">
        <f>IF(Q40="","",LOOKUP(ROUND(Q40,6),Notentabelle!$C$4:$C$19,Notentabelle!$A$4:$A$19))</f>
        <v/>
      </c>
      <c r="S40" s="22">
        <f>IF(R40="","",INDEX(Notentabelle!$B$4:$B$19,R40+1))</f>
        <v/>
      </c>
      <c r="T40" s="66" t="inlineStr"/>
    </row>
    <row r="41">
      <c r="A41" s="37" t="n">
        <v>34</v>
      </c>
      <c r="B41" s="31">
        <f>IF(INDEX(Klassenliste!$B$6:$B$40,34)=0,"",INDEX(Klassenliste!$B$6:$B$40,34))</f>
        <v/>
      </c>
      <c r="C41" s="31">
        <f>IF(INDEX(Klassenliste!$C$6:$C$40,34)=0,"",INDEX(Klassenliste!$C$6:$C$40,34))</f>
        <v/>
      </c>
      <c r="D41" s="49" t="inlineStr"/>
      <c r="E41" s="49" t="inlineStr"/>
      <c r="F41" s="49" t="inlineStr"/>
      <c r="G41" s="49" t="inlineStr"/>
      <c r="H41" s="49" t="inlineStr"/>
      <c r="I41" s="49" t="inlineStr"/>
      <c r="J41" s="49" t="inlineStr"/>
      <c r="K41" s="49" t="inlineStr"/>
      <c r="L41" s="49" t="inlineStr"/>
      <c r="M41" s="49" t="inlineStr"/>
      <c r="N41" s="49" t="inlineStr"/>
      <c r="O41" s="49" t="inlineStr"/>
      <c r="P41" s="47">
        <f>IF(COUNT(D41:O41)=0,"",SUM(D41:O41))</f>
        <v/>
      </c>
      <c r="Q41" s="65">
        <f>IF(P41="","",P41/$P$4)</f>
        <v/>
      </c>
      <c r="R41" s="50">
        <f>IF(Q41="","",LOOKUP(ROUND(Q41,6),Notentabelle!$C$4:$C$19,Notentabelle!$A$4:$A$19))</f>
        <v/>
      </c>
      <c r="S41" s="22">
        <f>IF(R41="","",INDEX(Notentabelle!$B$4:$B$19,R41+1))</f>
        <v/>
      </c>
      <c r="T41" s="66" t="inlineStr"/>
    </row>
    <row r="42">
      <c r="A42" s="37" t="n">
        <v>35</v>
      </c>
      <c r="B42" s="31">
        <f>IF(INDEX(Klassenliste!$B$6:$B$40,35)=0,"",INDEX(Klassenliste!$B$6:$B$40,35))</f>
        <v/>
      </c>
      <c r="C42" s="31">
        <f>IF(INDEX(Klassenliste!$C$6:$C$40,35)=0,"",INDEX(Klassenliste!$C$6:$C$40,35))</f>
        <v/>
      </c>
      <c r="D42" s="49" t="inlineStr"/>
      <c r="E42" s="49" t="inlineStr"/>
      <c r="F42" s="49" t="inlineStr"/>
      <c r="G42" s="49" t="inlineStr"/>
      <c r="H42" s="49" t="inlineStr"/>
      <c r="I42" s="49" t="inlineStr"/>
      <c r="J42" s="49" t="inlineStr"/>
      <c r="K42" s="49" t="inlineStr"/>
      <c r="L42" s="49" t="inlineStr"/>
      <c r="M42" s="49" t="inlineStr"/>
      <c r="N42" s="49" t="inlineStr"/>
      <c r="O42" s="49" t="inlineStr"/>
      <c r="P42" s="47">
        <f>IF(COUNT(D42:O42)=0,"",SUM(D42:O42))</f>
        <v/>
      </c>
      <c r="Q42" s="65">
        <f>IF(P42="","",P42/$P$4)</f>
        <v/>
      </c>
      <c r="R42" s="50">
        <f>IF(Q42="","",LOOKUP(ROUND(Q42,6),Notentabelle!$C$4:$C$19,Notentabelle!$A$4:$A$19))</f>
        <v/>
      </c>
      <c r="S42" s="22">
        <f>IF(R42="","",INDEX(Notentabelle!$B$4:$B$19,R42+1))</f>
        <v/>
      </c>
      <c r="T42" s="66" t="inlineStr"/>
    </row>
    <row r="45">
      <c r="B45" s="53" t="inlineStr">
        <is>
          <t>Notenspiegel</t>
        </is>
      </c>
      <c r="D45" s="17" t="n">
        <v>15</v>
      </c>
      <c r="E45" s="17" t="n">
        <v>14</v>
      </c>
      <c r="F45" s="17" t="n">
        <v>13</v>
      </c>
      <c r="G45" s="17" t="n">
        <v>12</v>
      </c>
      <c r="H45" s="17" t="n">
        <v>11</v>
      </c>
      <c r="I45" s="17" t="n">
        <v>10</v>
      </c>
      <c r="J45" s="17" t="n">
        <v>9</v>
      </c>
      <c r="K45" s="17" t="n">
        <v>8</v>
      </c>
      <c r="L45" s="17" t="n">
        <v>7</v>
      </c>
      <c r="M45" s="17" t="n">
        <v>6</v>
      </c>
      <c r="N45" s="17" t="n">
        <v>5</v>
      </c>
      <c r="O45" s="17" t="n">
        <v>4</v>
      </c>
      <c r="P45" s="17" t="n">
        <v>3</v>
      </c>
      <c r="Q45" s="17" t="n">
        <v>2</v>
      </c>
      <c r="R45" s="17" t="n">
        <v>1</v>
      </c>
      <c r="S45" s="17" t="n">
        <v>0</v>
      </c>
    </row>
    <row r="46">
      <c r="D46" s="19">
        <f>COUNTIF($R$8:$R$42,15)</f>
        <v/>
      </c>
      <c r="E46" s="19">
        <f>COUNTIF($R$8:$R$42,14)</f>
        <v/>
      </c>
      <c r="F46" s="19">
        <f>COUNTIF($R$8:$R$42,13)</f>
        <v/>
      </c>
      <c r="G46" s="19">
        <f>COUNTIF($R$8:$R$42,12)</f>
        <v/>
      </c>
      <c r="H46" s="19">
        <f>COUNTIF($R$8:$R$42,11)</f>
        <v/>
      </c>
      <c r="I46" s="19">
        <f>COUNTIF($R$8:$R$42,10)</f>
        <v/>
      </c>
      <c r="J46" s="19">
        <f>COUNTIF($R$8:$R$42,9)</f>
        <v/>
      </c>
      <c r="K46" s="19">
        <f>COUNTIF($R$8:$R$42,8)</f>
        <v/>
      </c>
      <c r="L46" s="19">
        <f>COUNTIF($R$8:$R$42,7)</f>
        <v/>
      </c>
      <c r="M46" s="19">
        <f>COUNTIF($R$8:$R$42,6)</f>
        <v/>
      </c>
      <c r="N46" s="19">
        <f>COUNTIF($R$8:$R$42,5)</f>
        <v/>
      </c>
      <c r="O46" s="19">
        <f>COUNTIF($R$8:$R$42,4)</f>
        <v/>
      </c>
      <c r="P46" s="19">
        <f>COUNTIF($R$8:$R$42,3)</f>
        <v/>
      </c>
      <c r="Q46" s="19">
        <f>COUNTIF($R$8:$R$42,2)</f>
        <v/>
      </c>
      <c r="R46" s="19">
        <f>COUNTIF($R$8:$R$42,1)</f>
        <v/>
      </c>
      <c r="S46" s="19">
        <f>COUNTIF($R$8:$R$42,0)</f>
        <v/>
      </c>
    </row>
    <row r="47">
      <c r="D47" s="53" t="inlineStr">
        <is>
          <t>Defizite (unter 5 P):</t>
        </is>
      </c>
      <c r="G47" s="19">
        <f>COUNTIF($R$8:$R$42,"&lt;5")</f>
        <v/>
      </c>
      <c r="I47" s="53" t="inlineStr">
        <is>
          <t>Ø Punkte:</t>
        </is>
      </c>
      <c r="K47" s="67">
        <f>IFERROR(ROUND(AVERAGE(R8:R42),1),"")</f>
        <v/>
      </c>
    </row>
    <row r="48">
      <c r="B48" s="53" t="inlineStr">
        <is>
          <t>nach Noten</t>
        </is>
      </c>
      <c r="D48" s="17" t="inlineStr">
        <is>
          <t>Note 1</t>
        </is>
      </c>
      <c r="E48" s="17" t="inlineStr">
        <is>
          <t>Note 2</t>
        </is>
      </c>
      <c r="F48" s="17" t="inlineStr">
        <is>
          <t>Note 3</t>
        </is>
      </c>
      <c r="G48" s="17" t="inlineStr">
        <is>
          <t>Note 4</t>
        </is>
      </c>
      <c r="H48" s="17" t="inlineStr">
        <is>
          <t>Note 5</t>
        </is>
      </c>
      <c r="I48" s="17" t="inlineStr">
        <is>
          <t>Note 6</t>
        </is>
      </c>
    </row>
    <row r="49">
      <c r="D49" s="19">
        <f>COUNTIF($R$8:$R$42,"&gt;=13")</f>
        <v/>
      </c>
      <c r="E49" s="19">
        <f>COUNTIFS($R$8:$R$42,"&gt;=10",$R$8:$R$42,"&lt;=12")</f>
        <v/>
      </c>
      <c r="F49" s="19">
        <f>COUNTIFS($R$8:$R$42,"&gt;=7",$R$8:$R$42,"&lt;=9")</f>
        <v/>
      </c>
      <c r="G49" s="19">
        <f>COUNTIFS($R$8:$R$42,"&gt;=4",$R$8:$R$42,"&lt;=6")</f>
        <v/>
      </c>
      <c r="H49" s="19">
        <f>COUNTIFS($R$8:$R$42,"&gt;=1",$R$8:$R$42,"&lt;=3")</f>
        <v/>
      </c>
      <c r="I49" s="19">
        <f>COUNTIF($R$8:$R$42,0)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L2:S2"/>
    <mergeCell ref="C2:G2"/>
    <mergeCell ref="J2:K2"/>
    <mergeCell ref="A1:R1"/>
  </mergeCells>
  <conditionalFormatting sqref="D46:S46">
    <cfRule type="dataBar" priority="1">
      <dataBar showValue="1">
        <cfvo type="num" val="0"/>
        <cfvo type="max"/>
        <color rgb="0035596E"/>
      </dataBar>
    </cfRule>
  </conditionalFormatting>
  <conditionalFormatting sqref="D49:I49">
    <cfRule type="dataBar" priority="2">
      <dataBar showValue="1">
        <cfvo type="num" val="0"/>
        <cfvo type="max"/>
        <color rgb="0035596E"/>
      </dataBar>
    </cfRule>
  </conditionalFormatting>
  <conditionalFormatting sqref="A8:S42">
    <cfRule type="expression" priority="3" dxfId="1" stopIfTrue="1">
      <formula>$B8=""</formula>
    </cfRule>
  </conditionalFormatting>
  <conditionalFormatting sqref="D8:O42">
    <cfRule type="expression" priority="4" dxfId="5">
      <formula>AND(D8&lt;&gt;"",OR(NOT(ISNUMBER(D8)),D8&lt;0,D$4="",AND(ISNUMBER(D$4),D8&gt;D$4)))</formula>
    </cfRule>
    <cfRule type="expression" priority="8" dxfId="6">
      <formula>D$4=""</formula>
    </cfRule>
  </conditionalFormatting>
  <conditionalFormatting sqref="D4:O4">
    <cfRule type="expression" priority="5" dxfId="5">
      <formula>AND(D4&lt;&gt;"",NOT(ISNUMBER(D4)))</formula>
    </cfRule>
  </conditionalFormatting>
  <conditionalFormatting sqref="Q8:Q42">
    <cfRule type="expression" priority="6" dxfId="5">
      <formula>AND(ISNUMBER(Q8),OR(Q8&gt;1,Q8&lt;0))</formula>
    </cfRule>
  </conditionalFormatting>
  <conditionalFormatting sqref="R8:R42">
    <cfRule type="expression" priority="7" dxfId="2">
      <formula>AND(ISNUMBER(R8),R8&lt;5)</formula>
    </cfRule>
  </conditionalFormatting>
  <conditionalFormatting sqref="D3:O3">
    <cfRule type="expression" priority="9" dxfId="6">
      <formula>D$4=""</formula>
    </cfRule>
  </conditionalFormatting>
  <dataValidations count="2">
    <dataValidation sqref="D4:O4" showDropDown="0" showInputMessage="0" showErrorMessage="1" allowBlank="1" errorTitle="Ungültige Maximalpunkte" error="Bitte eine Zahl zwischen 0 und 999 eintragen." type="decimal" operator="between">
      <formula1>0</formula1>
      <formula2>999</formula2>
    </dataValidation>
    <dataValidation sqref="D8:O42" showDropDown="0" showInputMessage="0" showErrorMessage="1" allowBlank="1" errorTitle="Ungültige Punktzahl" error="Nur Zahlen von 0 bis zur Maximalpunktzahl dieser Aufgabe." type="custom">
      <formula1>AND(ISNUMBER(D8),D8&gt;=0,D8&lt;=D$4)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tabColor rgb="00D8DDE0"/>
    <outlinePr summaryBelow="1" summaryRight="1"/>
    <pageSetUpPr fitToPage="1"/>
  </sheetPr>
  <dimension ref="A1:T49"/>
  <sheetViews>
    <sheetView showGridLines="0" zoomScale="10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7" customWidth="1" min="16" max="16"/>
    <col width="8" customWidth="1" min="17" max="17"/>
    <col width="8" customWidth="1" min="18" max="18"/>
    <col width="12" customWidth="1" min="19" max="19"/>
    <col width="48" customWidth="1" min="20" max="20"/>
  </cols>
  <sheetData>
    <row r="1" ht="26" customHeight="1">
      <c r="A1" s="1" t="inlineStr">
        <is>
          <t>Klausur 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8">
        <f>HYPERLINK("#Start!A1","⌂")</f>
        <v/>
      </c>
    </row>
    <row r="2">
      <c r="B2" s="53" t="inlineStr">
        <is>
          <t>Thema:</t>
        </is>
      </c>
      <c r="C2" s="11" t="inlineStr"/>
      <c r="D2" s="54" t="n"/>
      <c r="E2" s="54" t="n"/>
      <c r="F2" s="54" t="n"/>
      <c r="G2" s="54" t="n"/>
      <c r="I2" s="53" t="inlineStr">
        <is>
          <t>Datum:</t>
        </is>
      </c>
      <c r="J2" s="24" t="inlineStr"/>
      <c r="K2" s="55" t="n"/>
      <c r="L2" s="12">
        <f>Klassenliste!$E$2&amp;"  ·  "&amp;Klassenliste!$J$2&amp;"  ·  "&amp;Klassenliste!$H$2&amp;""</f>
        <v/>
      </c>
    </row>
    <row r="3">
      <c r="C3" s="18" t="inlineStr">
        <is>
          <t>Aufgabe</t>
        </is>
      </c>
      <c r="D3" s="56" t="inlineStr">
        <is>
          <t>A1</t>
        </is>
      </c>
      <c r="E3" s="56" t="inlineStr">
        <is>
          <t>A2</t>
        </is>
      </c>
      <c r="F3" s="56" t="inlineStr">
        <is>
          <t>A3</t>
        </is>
      </c>
      <c r="G3" s="56" t="inlineStr">
        <is>
          <t>A4</t>
        </is>
      </c>
      <c r="H3" s="56" t="inlineStr">
        <is>
          <t>A5</t>
        </is>
      </c>
      <c r="I3" s="56" t="inlineStr">
        <is>
          <t>A6</t>
        </is>
      </c>
      <c r="J3" s="56" t="inlineStr">
        <is>
          <t>A7</t>
        </is>
      </c>
      <c r="K3" s="56" t="inlineStr">
        <is>
          <t>A8</t>
        </is>
      </c>
      <c r="L3" s="56" t="inlineStr">
        <is>
          <t>A9</t>
        </is>
      </c>
      <c r="M3" s="56" t="inlineStr">
        <is>
          <t>A10</t>
        </is>
      </c>
      <c r="N3" s="56" t="inlineStr">
        <is>
          <t>A11</t>
        </is>
      </c>
      <c r="O3" s="56" t="inlineStr">
        <is>
          <t>A12</t>
        </is>
      </c>
      <c r="P3" s="45" t="inlineStr">
        <is>
          <t>Ges.</t>
        </is>
      </c>
    </row>
    <row r="4">
      <c r="C4" s="18" t="inlineStr">
        <is>
          <t>max. Punkte</t>
        </is>
      </c>
      <c r="D4" s="57" t="inlineStr"/>
      <c r="E4" s="57" t="inlineStr"/>
      <c r="F4" s="57" t="inlineStr"/>
      <c r="G4" s="57" t="inlineStr"/>
      <c r="H4" s="57" t="inlineStr"/>
      <c r="I4" s="57" t="inlineStr"/>
      <c r="J4" s="57" t="inlineStr"/>
      <c r="K4" s="57" t="inlineStr"/>
      <c r="L4" s="57" t="inlineStr"/>
      <c r="M4" s="57" t="inlineStr"/>
      <c r="N4" s="57" t="inlineStr"/>
      <c r="O4" s="57" t="inlineStr"/>
      <c r="P4" s="58">
        <f>IF(COUNT(D4:O4)=0,"",SUM(D4:O4))</f>
        <v/>
      </c>
    </row>
    <row r="5">
      <c r="C5" s="18" t="inlineStr">
        <is>
          <t>Schnitt</t>
        </is>
      </c>
      <c r="D5" s="59">
        <f>IF(D$4="","",IFERROR(ROUND(AVERAGE(D8:D42),2),""))</f>
        <v/>
      </c>
      <c r="E5" s="59">
        <f>IF(E$4="","",IFERROR(ROUND(AVERAGE(E8:E42),2),""))</f>
        <v/>
      </c>
      <c r="F5" s="59">
        <f>IF(F$4="","",IFERROR(ROUND(AVERAGE(F8:F42),2),""))</f>
        <v/>
      </c>
      <c r="G5" s="59">
        <f>IF(G$4="","",IFERROR(ROUND(AVERAGE(G8:G42),2),""))</f>
        <v/>
      </c>
      <c r="H5" s="59">
        <f>IF(H$4="","",IFERROR(ROUND(AVERAGE(H8:H42),2),""))</f>
        <v/>
      </c>
      <c r="I5" s="59">
        <f>IF(I$4="","",IFERROR(ROUND(AVERAGE(I8:I42),2),""))</f>
        <v/>
      </c>
      <c r="J5" s="59">
        <f>IF(J$4="","",IFERROR(ROUND(AVERAGE(J8:J42),2),""))</f>
        <v/>
      </c>
      <c r="K5" s="59">
        <f>IF(K$4="","",IFERROR(ROUND(AVERAGE(K8:K42),2),""))</f>
        <v/>
      </c>
      <c r="L5" s="59">
        <f>IF(L$4="","",IFERROR(ROUND(AVERAGE(L8:L42),2),""))</f>
        <v/>
      </c>
      <c r="M5" s="59">
        <f>IF(M$4="","",IFERROR(ROUND(AVERAGE(M8:M42),2),""))</f>
        <v/>
      </c>
      <c r="N5" s="59">
        <f>IF(N$4="","",IFERROR(ROUND(AVERAGE(N8:N42),2),""))</f>
        <v/>
      </c>
      <c r="O5" s="59">
        <f>IF(O$4="","",IFERROR(ROUND(AVERAGE(O8:O42),2),""))</f>
        <v/>
      </c>
      <c r="P5" s="60">
        <f>IFERROR(ROUND(AVERAGE(P8:P42),2),"")</f>
        <v/>
      </c>
    </row>
    <row r="6">
      <c r="A6" s="61" t="n"/>
      <c r="B6" s="61" t="n"/>
      <c r="C6" s="62" t="inlineStr">
        <is>
          <t>Schnitt %</t>
        </is>
      </c>
      <c r="D6" s="63">
        <f>IF(D$4="","",IFERROR(D5/D$4,""))</f>
        <v/>
      </c>
      <c r="E6" s="63">
        <f>IF(E$4="","",IFERROR(E5/E$4,""))</f>
        <v/>
      </c>
      <c r="F6" s="63">
        <f>IF(F$4="","",IFERROR(F5/F$4,""))</f>
        <v/>
      </c>
      <c r="G6" s="63">
        <f>IF(G$4="","",IFERROR(G5/G$4,""))</f>
        <v/>
      </c>
      <c r="H6" s="63">
        <f>IF(H$4="","",IFERROR(H5/H$4,""))</f>
        <v/>
      </c>
      <c r="I6" s="63">
        <f>IF(I$4="","",IFERROR(I5/I$4,""))</f>
        <v/>
      </c>
      <c r="J6" s="63">
        <f>IF(J$4="","",IFERROR(J5/J$4,""))</f>
        <v/>
      </c>
      <c r="K6" s="63">
        <f>IF(K$4="","",IFERROR(K5/K$4,""))</f>
        <v/>
      </c>
      <c r="L6" s="63">
        <f>IF(L$4="","",IFERROR(L5/L$4,""))</f>
        <v/>
      </c>
      <c r="M6" s="63">
        <f>IF(M$4="","",IFERROR(M5/M$4,""))</f>
        <v/>
      </c>
      <c r="N6" s="63">
        <f>IF(N$4="","",IFERROR(N5/N$4,""))</f>
        <v/>
      </c>
      <c r="O6" s="63">
        <f>IF(O$4="","",IFERROR(O5/O$4,""))</f>
        <v/>
      </c>
      <c r="P6" s="64">
        <f>IFERROR(P5/P4,"")</f>
        <v/>
      </c>
      <c r="Q6" s="61" t="n"/>
      <c r="R6" s="61" t="n"/>
      <c r="S6" s="61" t="n"/>
    </row>
    <row r="7" ht="18" customHeight="1">
      <c r="A7" s="17" t="inlineStr">
        <is>
          <t>Nr</t>
        </is>
      </c>
      <c r="B7" s="18" t="inlineStr">
        <is>
          <t>Name</t>
        </is>
      </c>
      <c r="C7" s="18" t="inlineStr">
        <is>
          <t>Vorname</t>
        </is>
      </c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45" t="inlineStr">
        <is>
          <t>Ges.</t>
        </is>
      </c>
      <c r="Q7" s="17" t="inlineStr">
        <is>
          <t>%</t>
        </is>
      </c>
      <c r="R7" s="17" t="inlineStr">
        <is>
          <t>Punkte</t>
        </is>
      </c>
      <c r="S7" s="17" t="inlineStr">
        <is>
          <t>Note</t>
        </is>
      </c>
      <c r="T7" s="18" t="inlineStr">
        <is>
          <t>Lob / Hinweis</t>
        </is>
      </c>
    </row>
    <row r="8">
      <c r="A8" s="37" t="n">
        <v>1</v>
      </c>
      <c r="B8" s="31">
        <f>IF(INDEX(Klassenliste!$B$6:$B$40,1)=0,"",INDEX(Klassenliste!$B$6:$B$40,1))</f>
        <v/>
      </c>
      <c r="C8" s="31">
        <f>IF(INDEX(Klassenliste!$C$6:$C$40,1)=0,"",INDEX(Klassenliste!$C$6:$C$40,1))</f>
        <v/>
      </c>
      <c r="D8" s="49" t="inlineStr"/>
      <c r="E8" s="49" t="inlineStr"/>
      <c r="F8" s="49" t="inlineStr"/>
      <c r="G8" s="49" t="inlineStr"/>
      <c r="H8" s="49" t="inlineStr"/>
      <c r="I8" s="49" t="inlineStr"/>
      <c r="J8" s="49" t="inlineStr"/>
      <c r="K8" s="49" t="inlineStr"/>
      <c r="L8" s="49" t="inlineStr"/>
      <c r="M8" s="49" t="inlineStr"/>
      <c r="N8" s="49" t="inlineStr"/>
      <c r="O8" s="49" t="inlineStr"/>
      <c r="P8" s="47">
        <f>IF(COUNT(D8:O8)=0,"",SUM(D8:O8))</f>
        <v/>
      </c>
      <c r="Q8" s="65">
        <f>IF(P8="","",P8/$P$4)</f>
        <v/>
      </c>
      <c r="R8" s="50">
        <f>IF(Q8="","",LOOKUP(ROUND(Q8,6),Notentabelle!$C$4:$C$19,Notentabelle!$A$4:$A$19))</f>
        <v/>
      </c>
      <c r="S8" s="22">
        <f>IF(R8="","",INDEX(Notentabelle!$B$4:$B$19,R8+1))</f>
        <v/>
      </c>
      <c r="T8" s="66" t="inlineStr"/>
    </row>
    <row r="9">
      <c r="A9" s="37" t="n">
        <v>2</v>
      </c>
      <c r="B9" s="31">
        <f>IF(INDEX(Klassenliste!$B$6:$B$40,2)=0,"",INDEX(Klassenliste!$B$6:$B$40,2))</f>
        <v/>
      </c>
      <c r="C9" s="31">
        <f>IF(INDEX(Klassenliste!$C$6:$C$40,2)=0,"",INDEX(Klassenliste!$C$6:$C$40,2))</f>
        <v/>
      </c>
      <c r="D9" s="49" t="inlineStr"/>
      <c r="E9" s="49" t="inlineStr"/>
      <c r="F9" s="49" t="inlineStr"/>
      <c r="G9" s="49" t="inlineStr"/>
      <c r="H9" s="49" t="inlineStr"/>
      <c r="I9" s="49" t="inlineStr"/>
      <c r="J9" s="49" t="inlineStr"/>
      <c r="K9" s="49" t="inlineStr"/>
      <c r="L9" s="49" t="inlineStr"/>
      <c r="M9" s="49" t="inlineStr"/>
      <c r="N9" s="49" t="inlineStr"/>
      <c r="O9" s="49" t="inlineStr"/>
      <c r="P9" s="47">
        <f>IF(COUNT(D9:O9)=0,"",SUM(D9:O9))</f>
        <v/>
      </c>
      <c r="Q9" s="65">
        <f>IF(P9="","",P9/$P$4)</f>
        <v/>
      </c>
      <c r="R9" s="50">
        <f>IF(Q9="","",LOOKUP(ROUND(Q9,6),Notentabelle!$C$4:$C$19,Notentabelle!$A$4:$A$19))</f>
        <v/>
      </c>
      <c r="S9" s="22">
        <f>IF(R9="","",INDEX(Notentabelle!$B$4:$B$19,R9+1))</f>
        <v/>
      </c>
      <c r="T9" s="66" t="inlineStr"/>
    </row>
    <row r="10">
      <c r="A10" s="37" t="n">
        <v>3</v>
      </c>
      <c r="B10" s="31">
        <f>IF(INDEX(Klassenliste!$B$6:$B$40,3)=0,"",INDEX(Klassenliste!$B$6:$B$40,3))</f>
        <v/>
      </c>
      <c r="C10" s="31">
        <f>IF(INDEX(Klassenliste!$C$6:$C$40,3)=0,"",INDEX(Klassenliste!$C$6:$C$40,3))</f>
        <v/>
      </c>
      <c r="D10" s="49" t="inlineStr"/>
      <c r="E10" s="49" t="inlineStr"/>
      <c r="F10" s="49" t="inlineStr"/>
      <c r="G10" s="49" t="inlineStr"/>
      <c r="H10" s="49" t="inlineStr"/>
      <c r="I10" s="49" t="inlineStr"/>
      <c r="J10" s="49" t="inlineStr"/>
      <c r="K10" s="49" t="inlineStr"/>
      <c r="L10" s="49" t="inlineStr"/>
      <c r="M10" s="49" t="inlineStr"/>
      <c r="N10" s="49" t="inlineStr"/>
      <c r="O10" s="49" t="inlineStr"/>
      <c r="P10" s="47">
        <f>IF(COUNT(D10:O10)=0,"",SUM(D10:O10))</f>
        <v/>
      </c>
      <c r="Q10" s="65">
        <f>IF(P10="","",P10/$P$4)</f>
        <v/>
      </c>
      <c r="R10" s="50">
        <f>IF(Q10="","",LOOKUP(ROUND(Q10,6),Notentabelle!$C$4:$C$19,Notentabelle!$A$4:$A$19))</f>
        <v/>
      </c>
      <c r="S10" s="22">
        <f>IF(R10="","",INDEX(Notentabelle!$B$4:$B$19,R10+1))</f>
        <v/>
      </c>
      <c r="T10" s="66" t="inlineStr"/>
    </row>
    <row r="11">
      <c r="A11" s="37" t="n">
        <v>4</v>
      </c>
      <c r="B11" s="31">
        <f>IF(INDEX(Klassenliste!$B$6:$B$40,4)=0,"",INDEX(Klassenliste!$B$6:$B$40,4))</f>
        <v/>
      </c>
      <c r="C11" s="31">
        <f>IF(INDEX(Klassenliste!$C$6:$C$40,4)=0,"",INDEX(Klassenliste!$C$6:$C$40,4))</f>
        <v/>
      </c>
      <c r="D11" s="49" t="inlineStr"/>
      <c r="E11" s="49" t="inlineStr"/>
      <c r="F11" s="49" t="inlineStr"/>
      <c r="G11" s="49" t="inlineStr"/>
      <c r="H11" s="49" t="inlineStr"/>
      <c r="I11" s="49" t="inlineStr"/>
      <c r="J11" s="49" t="inlineStr"/>
      <c r="K11" s="49" t="inlineStr"/>
      <c r="L11" s="49" t="inlineStr"/>
      <c r="M11" s="49" t="inlineStr"/>
      <c r="N11" s="49" t="inlineStr"/>
      <c r="O11" s="49" t="inlineStr"/>
      <c r="P11" s="47">
        <f>IF(COUNT(D11:O11)=0,"",SUM(D11:O11))</f>
        <v/>
      </c>
      <c r="Q11" s="65">
        <f>IF(P11="","",P11/$P$4)</f>
        <v/>
      </c>
      <c r="R11" s="50">
        <f>IF(Q11="","",LOOKUP(ROUND(Q11,6),Notentabelle!$C$4:$C$19,Notentabelle!$A$4:$A$19))</f>
        <v/>
      </c>
      <c r="S11" s="22">
        <f>IF(R11="","",INDEX(Notentabelle!$B$4:$B$19,R11+1))</f>
        <v/>
      </c>
      <c r="T11" s="66" t="inlineStr"/>
    </row>
    <row r="12">
      <c r="A12" s="37" t="n">
        <v>5</v>
      </c>
      <c r="B12" s="31">
        <f>IF(INDEX(Klassenliste!$B$6:$B$40,5)=0,"",INDEX(Klassenliste!$B$6:$B$40,5))</f>
        <v/>
      </c>
      <c r="C12" s="31">
        <f>IF(INDEX(Klassenliste!$C$6:$C$40,5)=0,"",INDEX(Klassenliste!$C$6:$C$40,5))</f>
        <v/>
      </c>
      <c r="D12" s="49" t="inlineStr"/>
      <c r="E12" s="49" t="inlineStr"/>
      <c r="F12" s="49" t="inlineStr"/>
      <c r="G12" s="49" t="inlineStr"/>
      <c r="H12" s="49" t="inlineStr"/>
      <c r="I12" s="49" t="inlineStr"/>
      <c r="J12" s="49" t="inlineStr"/>
      <c r="K12" s="49" t="inlineStr"/>
      <c r="L12" s="49" t="inlineStr"/>
      <c r="M12" s="49" t="inlineStr"/>
      <c r="N12" s="49" t="inlineStr"/>
      <c r="O12" s="49" t="inlineStr"/>
      <c r="P12" s="47">
        <f>IF(COUNT(D12:O12)=0,"",SUM(D12:O12))</f>
        <v/>
      </c>
      <c r="Q12" s="65">
        <f>IF(P12="","",P12/$P$4)</f>
        <v/>
      </c>
      <c r="R12" s="50">
        <f>IF(Q12="","",LOOKUP(ROUND(Q12,6),Notentabelle!$C$4:$C$19,Notentabelle!$A$4:$A$19))</f>
        <v/>
      </c>
      <c r="S12" s="22">
        <f>IF(R12="","",INDEX(Notentabelle!$B$4:$B$19,R12+1))</f>
        <v/>
      </c>
      <c r="T12" s="66" t="inlineStr"/>
    </row>
    <row r="13">
      <c r="A13" s="37" t="n">
        <v>6</v>
      </c>
      <c r="B13" s="31">
        <f>IF(INDEX(Klassenliste!$B$6:$B$40,6)=0,"",INDEX(Klassenliste!$B$6:$B$40,6))</f>
        <v/>
      </c>
      <c r="C13" s="31">
        <f>IF(INDEX(Klassenliste!$C$6:$C$40,6)=0,"",INDEX(Klassenliste!$C$6:$C$40,6))</f>
        <v/>
      </c>
      <c r="D13" s="49" t="inlineStr"/>
      <c r="E13" s="49" t="inlineStr"/>
      <c r="F13" s="49" t="inlineStr"/>
      <c r="G13" s="49" t="inlineStr"/>
      <c r="H13" s="49" t="inlineStr"/>
      <c r="I13" s="49" t="inlineStr"/>
      <c r="J13" s="49" t="inlineStr"/>
      <c r="K13" s="49" t="inlineStr"/>
      <c r="L13" s="49" t="inlineStr"/>
      <c r="M13" s="49" t="inlineStr"/>
      <c r="N13" s="49" t="inlineStr"/>
      <c r="O13" s="49" t="inlineStr"/>
      <c r="P13" s="47">
        <f>IF(COUNT(D13:O13)=0,"",SUM(D13:O13))</f>
        <v/>
      </c>
      <c r="Q13" s="65">
        <f>IF(P13="","",P13/$P$4)</f>
        <v/>
      </c>
      <c r="R13" s="50">
        <f>IF(Q13="","",LOOKUP(ROUND(Q13,6),Notentabelle!$C$4:$C$19,Notentabelle!$A$4:$A$19))</f>
        <v/>
      </c>
      <c r="S13" s="22">
        <f>IF(R13="","",INDEX(Notentabelle!$B$4:$B$19,R13+1))</f>
        <v/>
      </c>
      <c r="T13" s="66" t="inlineStr"/>
    </row>
    <row r="14">
      <c r="A14" s="37" t="n">
        <v>7</v>
      </c>
      <c r="B14" s="31">
        <f>IF(INDEX(Klassenliste!$B$6:$B$40,7)=0,"",INDEX(Klassenliste!$B$6:$B$40,7))</f>
        <v/>
      </c>
      <c r="C14" s="31">
        <f>IF(INDEX(Klassenliste!$C$6:$C$40,7)=0,"",INDEX(Klassenliste!$C$6:$C$40,7))</f>
        <v/>
      </c>
      <c r="D14" s="49" t="inlineStr"/>
      <c r="E14" s="49" t="inlineStr"/>
      <c r="F14" s="49" t="inlineStr"/>
      <c r="G14" s="49" t="inlineStr"/>
      <c r="H14" s="49" t="inlineStr"/>
      <c r="I14" s="49" t="inlineStr"/>
      <c r="J14" s="49" t="inlineStr"/>
      <c r="K14" s="49" t="inlineStr"/>
      <c r="L14" s="49" t="inlineStr"/>
      <c r="M14" s="49" t="inlineStr"/>
      <c r="N14" s="49" t="inlineStr"/>
      <c r="O14" s="49" t="inlineStr"/>
      <c r="P14" s="47">
        <f>IF(COUNT(D14:O14)=0,"",SUM(D14:O14))</f>
        <v/>
      </c>
      <c r="Q14" s="65">
        <f>IF(P14="","",P14/$P$4)</f>
        <v/>
      </c>
      <c r="R14" s="50">
        <f>IF(Q14="","",LOOKUP(ROUND(Q14,6),Notentabelle!$C$4:$C$19,Notentabelle!$A$4:$A$19))</f>
        <v/>
      </c>
      <c r="S14" s="22">
        <f>IF(R14="","",INDEX(Notentabelle!$B$4:$B$19,R14+1))</f>
        <v/>
      </c>
      <c r="T14" s="66" t="inlineStr"/>
    </row>
    <row r="15">
      <c r="A15" s="37" t="n">
        <v>8</v>
      </c>
      <c r="B15" s="31">
        <f>IF(INDEX(Klassenliste!$B$6:$B$40,8)=0,"",INDEX(Klassenliste!$B$6:$B$40,8))</f>
        <v/>
      </c>
      <c r="C15" s="31">
        <f>IF(INDEX(Klassenliste!$C$6:$C$40,8)=0,"",INDEX(Klassenliste!$C$6:$C$40,8))</f>
        <v/>
      </c>
      <c r="D15" s="49" t="inlineStr"/>
      <c r="E15" s="49" t="inlineStr"/>
      <c r="F15" s="49" t="inlineStr"/>
      <c r="G15" s="49" t="inlineStr"/>
      <c r="H15" s="49" t="inlineStr"/>
      <c r="I15" s="49" t="inlineStr"/>
      <c r="J15" s="49" t="inlineStr"/>
      <c r="K15" s="49" t="inlineStr"/>
      <c r="L15" s="49" t="inlineStr"/>
      <c r="M15" s="49" t="inlineStr"/>
      <c r="N15" s="49" t="inlineStr"/>
      <c r="O15" s="49" t="inlineStr"/>
      <c r="P15" s="47">
        <f>IF(COUNT(D15:O15)=0,"",SUM(D15:O15))</f>
        <v/>
      </c>
      <c r="Q15" s="65">
        <f>IF(P15="","",P15/$P$4)</f>
        <v/>
      </c>
      <c r="R15" s="50">
        <f>IF(Q15="","",LOOKUP(ROUND(Q15,6),Notentabelle!$C$4:$C$19,Notentabelle!$A$4:$A$19))</f>
        <v/>
      </c>
      <c r="S15" s="22">
        <f>IF(R15="","",INDEX(Notentabelle!$B$4:$B$19,R15+1))</f>
        <v/>
      </c>
      <c r="T15" s="66" t="inlineStr"/>
    </row>
    <row r="16">
      <c r="A16" s="37" t="n">
        <v>9</v>
      </c>
      <c r="B16" s="31">
        <f>IF(INDEX(Klassenliste!$B$6:$B$40,9)=0,"",INDEX(Klassenliste!$B$6:$B$40,9))</f>
        <v/>
      </c>
      <c r="C16" s="31">
        <f>IF(INDEX(Klassenliste!$C$6:$C$40,9)=0,"",INDEX(Klassenliste!$C$6:$C$40,9))</f>
        <v/>
      </c>
      <c r="D16" s="49" t="inlineStr"/>
      <c r="E16" s="49" t="inlineStr"/>
      <c r="F16" s="49" t="inlineStr"/>
      <c r="G16" s="49" t="inlineStr"/>
      <c r="H16" s="49" t="inlineStr"/>
      <c r="I16" s="49" t="inlineStr"/>
      <c r="J16" s="49" t="inlineStr"/>
      <c r="K16" s="49" t="inlineStr"/>
      <c r="L16" s="49" t="inlineStr"/>
      <c r="M16" s="49" t="inlineStr"/>
      <c r="N16" s="49" t="inlineStr"/>
      <c r="O16" s="49" t="inlineStr"/>
      <c r="P16" s="47">
        <f>IF(COUNT(D16:O16)=0,"",SUM(D16:O16))</f>
        <v/>
      </c>
      <c r="Q16" s="65">
        <f>IF(P16="","",P16/$P$4)</f>
        <v/>
      </c>
      <c r="R16" s="50">
        <f>IF(Q16="","",LOOKUP(ROUND(Q16,6),Notentabelle!$C$4:$C$19,Notentabelle!$A$4:$A$19))</f>
        <v/>
      </c>
      <c r="S16" s="22">
        <f>IF(R16="","",INDEX(Notentabelle!$B$4:$B$19,R16+1))</f>
        <v/>
      </c>
      <c r="T16" s="66" t="inlineStr"/>
    </row>
    <row r="17">
      <c r="A17" s="37" t="n">
        <v>10</v>
      </c>
      <c r="B17" s="31">
        <f>IF(INDEX(Klassenliste!$B$6:$B$40,10)=0,"",INDEX(Klassenliste!$B$6:$B$40,10))</f>
        <v/>
      </c>
      <c r="C17" s="31">
        <f>IF(INDEX(Klassenliste!$C$6:$C$40,10)=0,"",INDEX(Klassenliste!$C$6:$C$40,10))</f>
        <v/>
      </c>
      <c r="D17" s="49" t="inlineStr"/>
      <c r="E17" s="49" t="inlineStr"/>
      <c r="F17" s="49" t="inlineStr"/>
      <c r="G17" s="49" t="inlineStr"/>
      <c r="H17" s="49" t="inlineStr"/>
      <c r="I17" s="49" t="inlineStr"/>
      <c r="J17" s="49" t="inlineStr"/>
      <c r="K17" s="49" t="inlineStr"/>
      <c r="L17" s="49" t="inlineStr"/>
      <c r="M17" s="49" t="inlineStr"/>
      <c r="N17" s="49" t="inlineStr"/>
      <c r="O17" s="49" t="inlineStr"/>
      <c r="P17" s="47">
        <f>IF(COUNT(D17:O17)=0,"",SUM(D17:O17))</f>
        <v/>
      </c>
      <c r="Q17" s="65">
        <f>IF(P17="","",P17/$P$4)</f>
        <v/>
      </c>
      <c r="R17" s="50">
        <f>IF(Q17="","",LOOKUP(ROUND(Q17,6),Notentabelle!$C$4:$C$19,Notentabelle!$A$4:$A$19))</f>
        <v/>
      </c>
      <c r="S17" s="22">
        <f>IF(R17="","",INDEX(Notentabelle!$B$4:$B$19,R17+1))</f>
        <v/>
      </c>
      <c r="T17" s="66" t="inlineStr"/>
    </row>
    <row r="18">
      <c r="A18" s="37" t="n">
        <v>11</v>
      </c>
      <c r="B18" s="31">
        <f>IF(INDEX(Klassenliste!$B$6:$B$40,11)=0,"",INDEX(Klassenliste!$B$6:$B$40,11))</f>
        <v/>
      </c>
      <c r="C18" s="31">
        <f>IF(INDEX(Klassenliste!$C$6:$C$40,11)=0,"",INDEX(Klassenliste!$C$6:$C$40,11))</f>
        <v/>
      </c>
      <c r="D18" s="49" t="inlineStr"/>
      <c r="E18" s="49" t="inlineStr"/>
      <c r="F18" s="49" t="inlineStr"/>
      <c r="G18" s="49" t="inlineStr"/>
      <c r="H18" s="49" t="inlineStr"/>
      <c r="I18" s="49" t="inlineStr"/>
      <c r="J18" s="49" t="inlineStr"/>
      <c r="K18" s="49" t="inlineStr"/>
      <c r="L18" s="49" t="inlineStr"/>
      <c r="M18" s="49" t="inlineStr"/>
      <c r="N18" s="49" t="inlineStr"/>
      <c r="O18" s="49" t="inlineStr"/>
      <c r="P18" s="47">
        <f>IF(COUNT(D18:O18)=0,"",SUM(D18:O18))</f>
        <v/>
      </c>
      <c r="Q18" s="65">
        <f>IF(P18="","",P18/$P$4)</f>
        <v/>
      </c>
      <c r="R18" s="50">
        <f>IF(Q18="","",LOOKUP(ROUND(Q18,6),Notentabelle!$C$4:$C$19,Notentabelle!$A$4:$A$19))</f>
        <v/>
      </c>
      <c r="S18" s="22">
        <f>IF(R18="","",INDEX(Notentabelle!$B$4:$B$19,R18+1))</f>
        <v/>
      </c>
      <c r="T18" s="66" t="inlineStr"/>
    </row>
    <row r="19">
      <c r="A19" s="37" t="n">
        <v>12</v>
      </c>
      <c r="B19" s="31">
        <f>IF(INDEX(Klassenliste!$B$6:$B$40,12)=0,"",INDEX(Klassenliste!$B$6:$B$40,12))</f>
        <v/>
      </c>
      <c r="C19" s="31">
        <f>IF(INDEX(Klassenliste!$C$6:$C$40,12)=0,"",INDEX(Klassenliste!$C$6:$C$40,12))</f>
        <v/>
      </c>
      <c r="D19" s="49" t="inlineStr"/>
      <c r="E19" s="49" t="inlineStr"/>
      <c r="F19" s="49" t="inlineStr"/>
      <c r="G19" s="49" t="inlineStr"/>
      <c r="H19" s="49" t="inlineStr"/>
      <c r="I19" s="49" t="inlineStr"/>
      <c r="J19" s="49" t="inlineStr"/>
      <c r="K19" s="49" t="inlineStr"/>
      <c r="L19" s="49" t="inlineStr"/>
      <c r="M19" s="49" t="inlineStr"/>
      <c r="N19" s="49" t="inlineStr"/>
      <c r="O19" s="49" t="inlineStr"/>
      <c r="P19" s="47">
        <f>IF(COUNT(D19:O19)=0,"",SUM(D19:O19))</f>
        <v/>
      </c>
      <c r="Q19" s="65">
        <f>IF(P19="","",P19/$P$4)</f>
        <v/>
      </c>
      <c r="R19" s="50">
        <f>IF(Q19="","",LOOKUP(ROUND(Q19,6),Notentabelle!$C$4:$C$19,Notentabelle!$A$4:$A$19))</f>
        <v/>
      </c>
      <c r="S19" s="22">
        <f>IF(R19="","",INDEX(Notentabelle!$B$4:$B$19,R19+1))</f>
        <v/>
      </c>
      <c r="T19" s="66" t="inlineStr"/>
    </row>
    <row r="20">
      <c r="A20" s="37" t="n">
        <v>13</v>
      </c>
      <c r="B20" s="31">
        <f>IF(INDEX(Klassenliste!$B$6:$B$40,13)=0,"",INDEX(Klassenliste!$B$6:$B$40,13))</f>
        <v/>
      </c>
      <c r="C20" s="31">
        <f>IF(INDEX(Klassenliste!$C$6:$C$40,13)=0,"",INDEX(Klassenliste!$C$6:$C$40,13))</f>
        <v/>
      </c>
      <c r="D20" s="49" t="inlineStr"/>
      <c r="E20" s="49" t="inlineStr"/>
      <c r="F20" s="49" t="inlineStr"/>
      <c r="G20" s="49" t="inlineStr"/>
      <c r="H20" s="49" t="inlineStr"/>
      <c r="I20" s="49" t="inlineStr"/>
      <c r="J20" s="49" t="inlineStr"/>
      <c r="K20" s="49" t="inlineStr"/>
      <c r="L20" s="49" t="inlineStr"/>
      <c r="M20" s="49" t="inlineStr"/>
      <c r="N20" s="49" t="inlineStr"/>
      <c r="O20" s="49" t="inlineStr"/>
      <c r="P20" s="47">
        <f>IF(COUNT(D20:O20)=0,"",SUM(D20:O20))</f>
        <v/>
      </c>
      <c r="Q20" s="65">
        <f>IF(P20="","",P20/$P$4)</f>
        <v/>
      </c>
      <c r="R20" s="50">
        <f>IF(Q20="","",LOOKUP(ROUND(Q20,6),Notentabelle!$C$4:$C$19,Notentabelle!$A$4:$A$19))</f>
        <v/>
      </c>
      <c r="S20" s="22">
        <f>IF(R20="","",INDEX(Notentabelle!$B$4:$B$19,R20+1))</f>
        <v/>
      </c>
      <c r="T20" s="66" t="inlineStr"/>
    </row>
    <row r="21">
      <c r="A21" s="37" t="n">
        <v>14</v>
      </c>
      <c r="B21" s="31">
        <f>IF(INDEX(Klassenliste!$B$6:$B$40,14)=0,"",INDEX(Klassenliste!$B$6:$B$40,14))</f>
        <v/>
      </c>
      <c r="C21" s="31">
        <f>IF(INDEX(Klassenliste!$C$6:$C$40,14)=0,"",INDEX(Klassenliste!$C$6:$C$40,14))</f>
        <v/>
      </c>
      <c r="D21" s="49" t="inlineStr"/>
      <c r="E21" s="49" t="inlineStr"/>
      <c r="F21" s="49" t="inlineStr"/>
      <c r="G21" s="49" t="inlineStr"/>
      <c r="H21" s="49" t="inlineStr"/>
      <c r="I21" s="49" t="inlineStr"/>
      <c r="J21" s="49" t="inlineStr"/>
      <c r="K21" s="49" t="inlineStr"/>
      <c r="L21" s="49" t="inlineStr"/>
      <c r="M21" s="49" t="inlineStr"/>
      <c r="N21" s="49" t="inlineStr"/>
      <c r="O21" s="49" t="inlineStr"/>
      <c r="P21" s="47">
        <f>IF(COUNT(D21:O21)=0,"",SUM(D21:O21))</f>
        <v/>
      </c>
      <c r="Q21" s="65">
        <f>IF(P21="","",P21/$P$4)</f>
        <v/>
      </c>
      <c r="R21" s="50">
        <f>IF(Q21="","",LOOKUP(ROUND(Q21,6),Notentabelle!$C$4:$C$19,Notentabelle!$A$4:$A$19))</f>
        <v/>
      </c>
      <c r="S21" s="22">
        <f>IF(R21="","",INDEX(Notentabelle!$B$4:$B$19,R21+1))</f>
        <v/>
      </c>
      <c r="T21" s="66" t="inlineStr"/>
    </row>
    <row r="22">
      <c r="A22" s="37" t="n">
        <v>15</v>
      </c>
      <c r="B22" s="31">
        <f>IF(INDEX(Klassenliste!$B$6:$B$40,15)=0,"",INDEX(Klassenliste!$B$6:$B$40,15))</f>
        <v/>
      </c>
      <c r="C22" s="31">
        <f>IF(INDEX(Klassenliste!$C$6:$C$40,15)=0,"",INDEX(Klassenliste!$C$6:$C$40,15))</f>
        <v/>
      </c>
      <c r="D22" s="49" t="inlineStr"/>
      <c r="E22" s="49" t="inlineStr"/>
      <c r="F22" s="49" t="inlineStr"/>
      <c r="G22" s="49" t="inlineStr"/>
      <c r="H22" s="49" t="inlineStr"/>
      <c r="I22" s="49" t="inlineStr"/>
      <c r="J22" s="49" t="inlineStr"/>
      <c r="K22" s="49" t="inlineStr"/>
      <c r="L22" s="49" t="inlineStr"/>
      <c r="M22" s="49" t="inlineStr"/>
      <c r="N22" s="49" t="inlineStr"/>
      <c r="O22" s="49" t="inlineStr"/>
      <c r="P22" s="47">
        <f>IF(COUNT(D22:O22)=0,"",SUM(D22:O22))</f>
        <v/>
      </c>
      <c r="Q22" s="65">
        <f>IF(P22="","",P22/$P$4)</f>
        <v/>
      </c>
      <c r="R22" s="50">
        <f>IF(Q22="","",LOOKUP(ROUND(Q22,6),Notentabelle!$C$4:$C$19,Notentabelle!$A$4:$A$19))</f>
        <v/>
      </c>
      <c r="S22" s="22">
        <f>IF(R22="","",INDEX(Notentabelle!$B$4:$B$19,R22+1))</f>
        <v/>
      </c>
      <c r="T22" s="66" t="inlineStr"/>
    </row>
    <row r="23">
      <c r="A23" s="37" t="n">
        <v>16</v>
      </c>
      <c r="B23" s="31">
        <f>IF(INDEX(Klassenliste!$B$6:$B$40,16)=0,"",INDEX(Klassenliste!$B$6:$B$40,16))</f>
        <v/>
      </c>
      <c r="C23" s="31">
        <f>IF(INDEX(Klassenliste!$C$6:$C$40,16)=0,"",INDEX(Klassenliste!$C$6:$C$40,16))</f>
        <v/>
      </c>
      <c r="D23" s="49" t="inlineStr"/>
      <c r="E23" s="49" t="inlineStr"/>
      <c r="F23" s="49" t="inlineStr"/>
      <c r="G23" s="49" t="inlineStr"/>
      <c r="H23" s="49" t="inlineStr"/>
      <c r="I23" s="49" t="inlineStr"/>
      <c r="J23" s="49" t="inlineStr"/>
      <c r="K23" s="49" t="inlineStr"/>
      <c r="L23" s="49" t="inlineStr"/>
      <c r="M23" s="49" t="inlineStr"/>
      <c r="N23" s="49" t="inlineStr"/>
      <c r="O23" s="49" t="inlineStr"/>
      <c r="P23" s="47">
        <f>IF(COUNT(D23:O23)=0,"",SUM(D23:O23))</f>
        <v/>
      </c>
      <c r="Q23" s="65">
        <f>IF(P23="","",P23/$P$4)</f>
        <v/>
      </c>
      <c r="R23" s="50">
        <f>IF(Q23="","",LOOKUP(ROUND(Q23,6),Notentabelle!$C$4:$C$19,Notentabelle!$A$4:$A$19))</f>
        <v/>
      </c>
      <c r="S23" s="22">
        <f>IF(R23="","",INDEX(Notentabelle!$B$4:$B$19,R23+1))</f>
        <v/>
      </c>
      <c r="T23" s="66" t="inlineStr"/>
    </row>
    <row r="24">
      <c r="A24" s="37" t="n">
        <v>17</v>
      </c>
      <c r="B24" s="31">
        <f>IF(INDEX(Klassenliste!$B$6:$B$40,17)=0,"",INDEX(Klassenliste!$B$6:$B$40,17))</f>
        <v/>
      </c>
      <c r="C24" s="31">
        <f>IF(INDEX(Klassenliste!$C$6:$C$40,17)=0,"",INDEX(Klassenliste!$C$6:$C$40,17))</f>
        <v/>
      </c>
      <c r="D24" s="49" t="inlineStr"/>
      <c r="E24" s="49" t="inlineStr"/>
      <c r="F24" s="49" t="inlineStr"/>
      <c r="G24" s="49" t="inlineStr"/>
      <c r="H24" s="49" t="inlineStr"/>
      <c r="I24" s="49" t="inlineStr"/>
      <c r="J24" s="49" t="inlineStr"/>
      <c r="K24" s="49" t="inlineStr"/>
      <c r="L24" s="49" t="inlineStr"/>
      <c r="M24" s="49" t="inlineStr"/>
      <c r="N24" s="49" t="inlineStr"/>
      <c r="O24" s="49" t="inlineStr"/>
      <c r="P24" s="47">
        <f>IF(COUNT(D24:O24)=0,"",SUM(D24:O24))</f>
        <v/>
      </c>
      <c r="Q24" s="65">
        <f>IF(P24="","",P24/$P$4)</f>
        <v/>
      </c>
      <c r="R24" s="50">
        <f>IF(Q24="","",LOOKUP(ROUND(Q24,6),Notentabelle!$C$4:$C$19,Notentabelle!$A$4:$A$19))</f>
        <v/>
      </c>
      <c r="S24" s="22">
        <f>IF(R24="","",INDEX(Notentabelle!$B$4:$B$19,R24+1))</f>
        <v/>
      </c>
      <c r="T24" s="66" t="inlineStr"/>
    </row>
    <row r="25">
      <c r="A25" s="37" t="n">
        <v>18</v>
      </c>
      <c r="B25" s="31">
        <f>IF(INDEX(Klassenliste!$B$6:$B$40,18)=0,"",INDEX(Klassenliste!$B$6:$B$40,18))</f>
        <v/>
      </c>
      <c r="C25" s="31">
        <f>IF(INDEX(Klassenliste!$C$6:$C$40,18)=0,"",INDEX(Klassenliste!$C$6:$C$40,18))</f>
        <v/>
      </c>
      <c r="D25" s="49" t="inlineStr"/>
      <c r="E25" s="49" t="inlineStr"/>
      <c r="F25" s="49" t="inlineStr"/>
      <c r="G25" s="49" t="inlineStr"/>
      <c r="H25" s="49" t="inlineStr"/>
      <c r="I25" s="49" t="inlineStr"/>
      <c r="J25" s="49" t="inlineStr"/>
      <c r="K25" s="49" t="inlineStr"/>
      <c r="L25" s="49" t="inlineStr"/>
      <c r="M25" s="49" t="inlineStr"/>
      <c r="N25" s="49" t="inlineStr"/>
      <c r="O25" s="49" t="inlineStr"/>
      <c r="P25" s="47">
        <f>IF(COUNT(D25:O25)=0,"",SUM(D25:O25))</f>
        <v/>
      </c>
      <c r="Q25" s="65">
        <f>IF(P25="","",P25/$P$4)</f>
        <v/>
      </c>
      <c r="R25" s="50">
        <f>IF(Q25="","",LOOKUP(ROUND(Q25,6),Notentabelle!$C$4:$C$19,Notentabelle!$A$4:$A$19))</f>
        <v/>
      </c>
      <c r="S25" s="22">
        <f>IF(R25="","",INDEX(Notentabelle!$B$4:$B$19,R25+1))</f>
        <v/>
      </c>
      <c r="T25" s="66" t="inlineStr"/>
    </row>
    <row r="26">
      <c r="A26" s="37" t="n">
        <v>19</v>
      </c>
      <c r="B26" s="31">
        <f>IF(INDEX(Klassenliste!$B$6:$B$40,19)=0,"",INDEX(Klassenliste!$B$6:$B$40,19))</f>
        <v/>
      </c>
      <c r="C26" s="31">
        <f>IF(INDEX(Klassenliste!$C$6:$C$40,19)=0,"",INDEX(Klassenliste!$C$6:$C$40,19))</f>
        <v/>
      </c>
      <c r="D26" s="49" t="inlineStr"/>
      <c r="E26" s="49" t="inlineStr"/>
      <c r="F26" s="49" t="inlineStr"/>
      <c r="G26" s="49" t="inlineStr"/>
      <c r="H26" s="49" t="inlineStr"/>
      <c r="I26" s="49" t="inlineStr"/>
      <c r="J26" s="49" t="inlineStr"/>
      <c r="K26" s="49" t="inlineStr"/>
      <c r="L26" s="49" t="inlineStr"/>
      <c r="M26" s="49" t="inlineStr"/>
      <c r="N26" s="49" t="inlineStr"/>
      <c r="O26" s="49" t="inlineStr"/>
      <c r="P26" s="47">
        <f>IF(COUNT(D26:O26)=0,"",SUM(D26:O26))</f>
        <v/>
      </c>
      <c r="Q26" s="65">
        <f>IF(P26="","",P26/$P$4)</f>
        <v/>
      </c>
      <c r="R26" s="50">
        <f>IF(Q26="","",LOOKUP(ROUND(Q26,6),Notentabelle!$C$4:$C$19,Notentabelle!$A$4:$A$19))</f>
        <v/>
      </c>
      <c r="S26" s="22">
        <f>IF(R26="","",INDEX(Notentabelle!$B$4:$B$19,R26+1))</f>
        <v/>
      </c>
      <c r="T26" s="66" t="inlineStr"/>
    </row>
    <row r="27">
      <c r="A27" s="37" t="n">
        <v>20</v>
      </c>
      <c r="B27" s="31">
        <f>IF(INDEX(Klassenliste!$B$6:$B$40,20)=0,"",INDEX(Klassenliste!$B$6:$B$40,20))</f>
        <v/>
      </c>
      <c r="C27" s="31">
        <f>IF(INDEX(Klassenliste!$C$6:$C$40,20)=0,"",INDEX(Klassenliste!$C$6:$C$40,20))</f>
        <v/>
      </c>
      <c r="D27" s="49" t="inlineStr"/>
      <c r="E27" s="49" t="inlineStr"/>
      <c r="F27" s="49" t="inlineStr"/>
      <c r="G27" s="49" t="inlineStr"/>
      <c r="H27" s="49" t="inlineStr"/>
      <c r="I27" s="49" t="inlineStr"/>
      <c r="J27" s="49" t="inlineStr"/>
      <c r="K27" s="49" t="inlineStr"/>
      <c r="L27" s="49" t="inlineStr"/>
      <c r="M27" s="49" t="inlineStr"/>
      <c r="N27" s="49" t="inlineStr"/>
      <c r="O27" s="49" t="inlineStr"/>
      <c r="P27" s="47">
        <f>IF(COUNT(D27:O27)=0,"",SUM(D27:O27))</f>
        <v/>
      </c>
      <c r="Q27" s="65">
        <f>IF(P27="","",P27/$P$4)</f>
        <v/>
      </c>
      <c r="R27" s="50">
        <f>IF(Q27="","",LOOKUP(ROUND(Q27,6),Notentabelle!$C$4:$C$19,Notentabelle!$A$4:$A$19))</f>
        <v/>
      </c>
      <c r="S27" s="22">
        <f>IF(R27="","",INDEX(Notentabelle!$B$4:$B$19,R27+1))</f>
        <v/>
      </c>
      <c r="T27" s="66" t="inlineStr"/>
    </row>
    <row r="28">
      <c r="A28" s="37" t="n">
        <v>21</v>
      </c>
      <c r="B28" s="31">
        <f>IF(INDEX(Klassenliste!$B$6:$B$40,21)=0,"",INDEX(Klassenliste!$B$6:$B$40,21))</f>
        <v/>
      </c>
      <c r="C28" s="31">
        <f>IF(INDEX(Klassenliste!$C$6:$C$40,21)=0,"",INDEX(Klassenliste!$C$6:$C$40,21))</f>
        <v/>
      </c>
      <c r="D28" s="49" t="inlineStr"/>
      <c r="E28" s="49" t="inlineStr"/>
      <c r="F28" s="49" t="inlineStr"/>
      <c r="G28" s="49" t="inlineStr"/>
      <c r="H28" s="49" t="inlineStr"/>
      <c r="I28" s="49" t="inlineStr"/>
      <c r="J28" s="49" t="inlineStr"/>
      <c r="K28" s="49" t="inlineStr"/>
      <c r="L28" s="49" t="inlineStr"/>
      <c r="M28" s="49" t="inlineStr"/>
      <c r="N28" s="49" t="inlineStr"/>
      <c r="O28" s="49" t="inlineStr"/>
      <c r="P28" s="47">
        <f>IF(COUNT(D28:O28)=0,"",SUM(D28:O28))</f>
        <v/>
      </c>
      <c r="Q28" s="65">
        <f>IF(P28="","",P28/$P$4)</f>
        <v/>
      </c>
      <c r="R28" s="50">
        <f>IF(Q28="","",LOOKUP(ROUND(Q28,6),Notentabelle!$C$4:$C$19,Notentabelle!$A$4:$A$19))</f>
        <v/>
      </c>
      <c r="S28" s="22">
        <f>IF(R28="","",INDEX(Notentabelle!$B$4:$B$19,R28+1))</f>
        <v/>
      </c>
      <c r="T28" s="66" t="inlineStr"/>
    </row>
    <row r="29">
      <c r="A29" s="37" t="n">
        <v>22</v>
      </c>
      <c r="B29" s="31">
        <f>IF(INDEX(Klassenliste!$B$6:$B$40,22)=0,"",INDEX(Klassenliste!$B$6:$B$40,22))</f>
        <v/>
      </c>
      <c r="C29" s="31">
        <f>IF(INDEX(Klassenliste!$C$6:$C$40,22)=0,"",INDEX(Klassenliste!$C$6:$C$40,22))</f>
        <v/>
      </c>
      <c r="D29" s="49" t="inlineStr"/>
      <c r="E29" s="49" t="inlineStr"/>
      <c r="F29" s="49" t="inlineStr"/>
      <c r="G29" s="49" t="inlineStr"/>
      <c r="H29" s="49" t="inlineStr"/>
      <c r="I29" s="49" t="inlineStr"/>
      <c r="J29" s="49" t="inlineStr"/>
      <c r="K29" s="49" t="inlineStr"/>
      <c r="L29" s="49" t="inlineStr"/>
      <c r="M29" s="49" t="inlineStr"/>
      <c r="N29" s="49" t="inlineStr"/>
      <c r="O29" s="49" t="inlineStr"/>
      <c r="P29" s="47">
        <f>IF(COUNT(D29:O29)=0,"",SUM(D29:O29))</f>
        <v/>
      </c>
      <c r="Q29" s="65">
        <f>IF(P29="","",P29/$P$4)</f>
        <v/>
      </c>
      <c r="R29" s="50">
        <f>IF(Q29="","",LOOKUP(ROUND(Q29,6),Notentabelle!$C$4:$C$19,Notentabelle!$A$4:$A$19))</f>
        <v/>
      </c>
      <c r="S29" s="22">
        <f>IF(R29="","",INDEX(Notentabelle!$B$4:$B$19,R29+1))</f>
        <v/>
      </c>
      <c r="T29" s="66" t="inlineStr"/>
    </row>
    <row r="30">
      <c r="A30" s="37" t="n">
        <v>23</v>
      </c>
      <c r="B30" s="31">
        <f>IF(INDEX(Klassenliste!$B$6:$B$40,23)=0,"",INDEX(Klassenliste!$B$6:$B$40,23))</f>
        <v/>
      </c>
      <c r="C30" s="31">
        <f>IF(INDEX(Klassenliste!$C$6:$C$40,23)=0,"",INDEX(Klassenliste!$C$6:$C$40,23))</f>
        <v/>
      </c>
      <c r="D30" s="49" t="inlineStr"/>
      <c r="E30" s="49" t="inlineStr"/>
      <c r="F30" s="49" t="inlineStr"/>
      <c r="G30" s="49" t="inlineStr"/>
      <c r="H30" s="49" t="inlineStr"/>
      <c r="I30" s="49" t="inlineStr"/>
      <c r="J30" s="49" t="inlineStr"/>
      <c r="K30" s="49" t="inlineStr"/>
      <c r="L30" s="49" t="inlineStr"/>
      <c r="M30" s="49" t="inlineStr"/>
      <c r="N30" s="49" t="inlineStr"/>
      <c r="O30" s="49" t="inlineStr"/>
      <c r="P30" s="47">
        <f>IF(COUNT(D30:O30)=0,"",SUM(D30:O30))</f>
        <v/>
      </c>
      <c r="Q30" s="65">
        <f>IF(P30="","",P30/$P$4)</f>
        <v/>
      </c>
      <c r="R30" s="50">
        <f>IF(Q30="","",LOOKUP(ROUND(Q30,6),Notentabelle!$C$4:$C$19,Notentabelle!$A$4:$A$19))</f>
        <v/>
      </c>
      <c r="S30" s="22">
        <f>IF(R30="","",INDEX(Notentabelle!$B$4:$B$19,R30+1))</f>
        <v/>
      </c>
      <c r="T30" s="66" t="inlineStr"/>
    </row>
    <row r="31">
      <c r="A31" s="37" t="n">
        <v>24</v>
      </c>
      <c r="B31" s="31">
        <f>IF(INDEX(Klassenliste!$B$6:$B$40,24)=0,"",INDEX(Klassenliste!$B$6:$B$40,24))</f>
        <v/>
      </c>
      <c r="C31" s="31">
        <f>IF(INDEX(Klassenliste!$C$6:$C$40,24)=0,"",INDEX(Klassenliste!$C$6:$C$40,24))</f>
        <v/>
      </c>
      <c r="D31" s="49" t="inlineStr"/>
      <c r="E31" s="49" t="inlineStr"/>
      <c r="F31" s="49" t="inlineStr"/>
      <c r="G31" s="49" t="inlineStr"/>
      <c r="H31" s="49" t="inlineStr"/>
      <c r="I31" s="49" t="inlineStr"/>
      <c r="J31" s="49" t="inlineStr"/>
      <c r="K31" s="49" t="inlineStr"/>
      <c r="L31" s="49" t="inlineStr"/>
      <c r="M31" s="49" t="inlineStr"/>
      <c r="N31" s="49" t="inlineStr"/>
      <c r="O31" s="49" t="inlineStr"/>
      <c r="P31" s="47">
        <f>IF(COUNT(D31:O31)=0,"",SUM(D31:O31))</f>
        <v/>
      </c>
      <c r="Q31" s="65">
        <f>IF(P31="","",P31/$P$4)</f>
        <v/>
      </c>
      <c r="R31" s="50">
        <f>IF(Q31="","",LOOKUP(ROUND(Q31,6),Notentabelle!$C$4:$C$19,Notentabelle!$A$4:$A$19))</f>
        <v/>
      </c>
      <c r="S31" s="22">
        <f>IF(R31="","",INDEX(Notentabelle!$B$4:$B$19,R31+1))</f>
        <v/>
      </c>
      <c r="T31" s="66" t="inlineStr"/>
    </row>
    <row r="32">
      <c r="A32" s="37" t="n">
        <v>25</v>
      </c>
      <c r="B32" s="31">
        <f>IF(INDEX(Klassenliste!$B$6:$B$40,25)=0,"",INDEX(Klassenliste!$B$6:$B$40,25))</f>
        <v/>
      </c>
      <c r="C32" s="31">
        <f>IF(INDEX(Klassenliste!$C$6:$C$40,25)=0,"",INDEX(Klassenliste!$C$6:$C$40,25))</f>
        <v/>
      </c>
      <c r="D32" s="49" t="inlineStr"/>
      <c r="E32" s="49" t="inlineStr"/>
      <c r="F32" s="49" t="inlineStr"/>
      <c r="G32" s="49" t="inlineStr"/>
      <c r="H32" s="49" t="inlineStr"/>
      <c r="I32" s="49" t="inlineStr"/>
      <c r="J32" s="49" t="inlineStr"/>
      <c r="K32" s="49" t="inlineStr"/>
      <c r="L32" s="49" t="inlineStr"/>
      <c r="M32" s="49" t="inlineStr"/>
      <c r="N32" s="49" t="inlineStr"/>
      <c r="O32" s="49" t="inlineStr"/>
      <c r="P32" s="47">
        <f>IF(COUNT(D32:O32)=0,"",SUM(D32:O32))</f>
        <v/>
      </c>
      <c r="Q32" s="65">
        <f>IF(P32="","",P32/$P$4)</f>
        <v/>
      </c>
      <c r="R32" s="50">
        <f>IF(Q32="","",LOOKUP(ROUND(Q32,6),Notentabelle!$C$4:$C$19,Notentabelle!$A$4:$A$19))</f>
        <v/>
      </c>
      <c r="S32" s="22">
        <f>IF(R32="","",INDEX(Notentabelle!$B$4:$B$19,R32+1))</f>
        <v/>
      </c>
      <c r="T32" s="66" t="inlineStr"/>
    </row>
    <row r="33">
      <c r="A33" s="37" t="n">
        <v>26</v>
      </c>
      <c r="B33" s="31">
        <f>IF(INDEX(Klassenliste!$B$6:$B$40,26)=0,"",INDEX(Klassenliste!$B$6:$B$40,26))</f>
        <v/>
      </c>
      <c r="C33" s="31">
        <f>IF(INDEX(Klassenliste!$C$6:$C$40,26)=0,"",INDEX(Klassenliste!$C$6:$C$40,26))</f>
        <v/>
      </c>
      <c r="D33" s="49" t="inlineStr"/>
      <c r="E33" s="49" t="inlineStr"/>
      <c r="F33" s="49" t="inlineStr"/>
      <c r="G33" s="49" t="inlineStr"/>
      <c r="H33" s="49" t="inlineStr"/>
      <c r="I33" s="49" t="inlineStr"/>
      <c r="J33" s="49" t="inlineStr"/>
      <c r="K33" s="49" t="inlineStr"/>
      <c r="L33" s="49" t="inlineStr"/>
      <c r="M33" s="49" t="inlineStr"/>
      <c r="N33" s="49" t="inlineStr"/>
      <c r="O33" s="49" t="inlineStr"/>
      <c r="P33" s="47">
        <f>IF(COUNT(D33:O33)=0,"",SUM(D33:O33))</f>
        <v/>
      </c>
      <c r="Q33" s="65">
        <f>IF(P33="","",P33/$P$4)</f>
        <v/>
      </c>
      <c r="R33" s="50">
        <f>IF(Q33="","",LOOKUP(ROUND(Q33,6),Notentabelle!$C$4:$C$19,Notentabelle!$A$4:$A$19))</f>
        <v/>
      </c>
      <c r="S33" s="22">
        <f>IF(R33="","",INDEX(Notentabelle!$B$4:$B$19,R33+1))</f>
        <v/>
      </c>
      <c r="T33" s="66" t="inlineStr"/>
    </row>
    <row r="34">
      <c r="A34" s="37" t="n">
        <v>27</v>
      </c>
      <c r="B34" s="31">
        <f>IF(INDEX(Klassenliste!$B$6:$B$40,27)=0,"",INDEX(Klassenliste!$B$6:$B$40,27))</f>
        <v/>
      </c>
      <c r="C34" s="31">
        <f>IF(INDEX(Klassenliste!$C$6:$C$40,27)=0,"",INDEX(Klassenliste!$C$6:$C$40,27))</f>
        <v/>
      </c>
      <c r="D34" s="49" t="inlineStr"/>
      <c r="E34" s="49" t="inlineStr"/>
      <c r="F34" s="49" t="inlineStr"/>
      <c r="G34" s="49" t="inlineStr"/>
      <c r="H34" s="49" t="inlineStr"/>
      <c r="I34" s="49" t="inlineStr"/>
      <c r="J34" s="49" t="inlineStr"/>
      <c r="K34" s="49" t="inlineStr"/>
      <c r="L34" s="49" t="inlineStr"/>
      <c r="M34" s="49" t="inlineStr"/>
      <c r="N34" s="49" t="inlineStr"/>
      <c r="O34" s="49" t="inlineStr"/>
      <c r="P34" s="47">
        <f>IF(COUNT(D34:O34)=0,"",SUM(D34:O34))</f>
        <v/>
      </c>
      <c r="Q34" s="65">
        <f>IF(P34="","",P34/$P$4)</f>
        <v/>
      </c>
      <c r="R34" s="50">
        <f>IF(Q34="","",LOOKUP(ROUND(Q34,6),Notentabelle!$C$4:$C$19,Notentabelle!$A$4:$A$19))</f>
        <v/>
      </c>
      <c r="S34" s="22">
        <f>IF(R34="","",INDEX(Notentabelle!$B$4:$B$19,R34+1))</f>
        <v/>
      </c>
      <c r="T34" s="66" t="inlineStr"/>
    </row>
    <row r="35">
      <c r="A35" s="37" t="n">
        <v>28</v>
      </c>
      <c r="B35" s="31">
        <f>IF(INDEX(Klassenliste!$B$6:$B$40,28)=0,"",INDEX(Klassenliste!$B$6:$B$40,28))</f>
        <v/>
      </c>
      <c r="C35" s="31">
        <f>IF(INDEX(Klassenliste!$C$6:$C$40,28)=0,"",INDEX(Klassenliste!$C$6:$C$40,28))</f>
        <v/>
      </c>
      <c r="D35" s="49" t="inlineStr"/>
      <c r="E35" s="49" t="inlineStr"/>
      <c r="F35" s="49" t="inlineStr"/>
      <c r="G35" s="49" t="inlineStr"/>
      <c r="H35" s="49" t="inlineStr"/>
      <c r="I35" s="49" t="inlineStr"/>
      <c r="J35" s="49" t="inlineStr"/>
      <c r="K35" s="49" t="inlineStr"/>
      <c r="L35" s="49" t="inlineStr"/>
      <c r="M35" s="49" t="inlineStr"/>
      <c r="N35" s="49" t="inlineStr"/>
      <c r="O35" s="49" t="inlineStr"/>
      <c r="P35" s="47">
        <f>IF(COUNT(D35:O35)=0,"",SUM(D35:O35))</f>
        <v/>
      </c>
      <c r="Q35" s="65">
        <f>IF(P35="","",P35/$P$4)</f>
        <v/>
      </c>
      <c r="R35" s="50">
        <f>IF(Q35="","",LOOKUP(ROUND(Q35,6),Notentabelle!$C$4:$C$19,Notentabelle!$A$4:$A$19))</f>
        <v/>
      </c>
      <c r="S35" s="22">
        <f>IF(R35="","",INDEX(Notentabelle!$B$4:$B$19,R35+1))</f>
        <v/>
      </c>
      <c r="T35" s="66" t="inlineStr"/>
    </row>
    <row r="36">
      <c r="A36" s="37" t="n">
        <v>29</v>
      </c>
      <c r="B36" s="31">
        <f>IF(INDEX(Klassenliste!$B$6:$B$40,29)=0,"",INDEX(Klassenliste!$B$6:$B$40,29))</f>
        <v/>
      </c>
      <c r="C36" s="31">
        <f>IF(INDEX(Klassenliste!$C$6:$C$40,29)=0,"",INDEX(Klassenliste!$C$6:$C$40,29))</f>
        <v/>
      </c>
      <c r="D36" s="49" t="inlineStr"/>
      <c r="E36" s="49" t="inlineStr"/>
      <c r="F36" s="49" t="inlineStr"/>
      <c r="G36" s="49" t="inlineStr"/>
      <c r="H36" s="49" t="inlineStr"/>
      <c r="I36" s="49" t="inlineStr"/>
      <c r="J36" s="49" t="inlineStr"/>
      <c r="K36" s="49" t="inlineStr"/>
      <c r="L36" s="49" t="inlineStr"/>
      <c r="M36" s="49" t="inlineStr"/>
      <c r="N36" s="49" t="inlineStr"/>
      <c r="O36" s="49" t="inlineStr"/>
      <c r="P36" s="47">
        <f>IF(COUNT(D36:O36)=0,"",SUM(D36:O36))</f>
        <v/>
      </c>
      <c r="Q36" s="65">
        <f>IF(P36="","",P36/$P$4)</f>
        <v/>
      </c>
      <c r="R36" s="50">
        <f>IF(Q36="","",LOOKUP(ROUND(Q36,6),Notentabelle!$C$4:$C$19,Notentabelle!$A$4:$A$19))</f>
        <v/>
      </c>
      <c r="S36" s="22">
        <f>IF(R36="","",INDEX(Notentabelle!$B$4:$B$19,R36+1))</f>
        <v/>
      </c>
      <c r="T36" s="66" t="inlineStr"/>
    </row>
    <row r="37">
      <c r="A37" s="37" t="n">
        <v>30</v>
      </c>
      <c r="B37" s="31">
        <f>IF(INDEX(Klassenliste!$B$6:$B$40,30)=0,"",INDEX(Klassenliste!$B$6:$B$40,30))</f>
        <v/>
      </c>
      <c r="C37" s="31">
        <f>IF(INDEX(Klassenliste!$C$6:$C$40,30)=0,"",INDEX(Klassenliste!$C$6:$C$40,30))</f>
        <v/>
      </c>
      <c r="D37" s="49" t="inlineStr"/>
      <c r="E37" s="49" t="inlineStr"/>
      <c r="F37" s="49" t="inlineStr"/>
      <c r="G37" s="49" t="inlineStr"/>
      <c r="H37" s="49" t="inlineStr"/>
      <c r="I37" s="49" t="inlineStr"/>
      <c r="J37" s="49" t="inlineStr"/>
      <c r="K37" s="49" t="inlineStr"/>
      <c r="L37" s="49" t="inlineStr"/>
      <c r="M37" s="49" t="inlineStr"/>
      <c r="N37" s="49" t="inlineStr"/>
      <c r="O37" s="49" t="inlineStr"/>
      <c r="P37" s="47">
        <f>IF(COUNT(D37:O37)=0,"",SUM(D37:O37))</f>
        <v/>
      </c>
      <c r="Q37" s="65">
        <f>IF(P37="","",P37/$P$4)</f>
        <v/>
      </c>
      <c r="R37" s="50">
        <f>IF(Q37="","",LOOKUP(ROUND(Q37,6),Notentabelle!$C$4:$C$19,Notentabelle!$A$4:$A$19))</f>
        <v/>
      </c>
      <c r="S37" s="22">
        <f>IF(R37="","",INDEX(Notentabelle!$B$4:$B$19,R37+1))</f>
        <v/>
      </c>
      <c r="T37" s="66" t="inlineStr"/>
    </row>
    <row r="38">
      <c r="A38" s="37" t="n">
        <v>31</v>
      </c>
      <c r="B38" s="31">
        <f>IF(INDEX(Klassenliste!$B$6:$B$40,31)=0,"",INDEX(Klassenliste!$B$6:$B$40,31))</f>
        <v/>
      </c>
      <c r="C38" s="31">
        <f>IF(INDEX(Klassenliste!$C$6:$C$40,31)=0,"",INDEX(Klassenliste!$C$6:$C$40,31))</f>
        <v/>
      </c>
      <c r="D38" s="49" t="inlineStr"/>
      <c r="E38" s="49" t="inlineStr"/>
      <c r="F38" s="49" t="inlineStr"/>
      <c r="G38" s="49" t="inlineStr"/>
      <c r="H38" s="49" t="inlineStr"/>
      <c r="I38" s="49" t="inlineStr"/>
      <c r="J38" s="49" t="inlineStr"/>
      <c r="K38" s="49" t="inlineStr"/>
      <c r="L38" s="49" t="inlineStr"/>
      <c r="M38" s="49" t="inlineStr"/>
      <c r="N38" s="49" t="inlineStr"/>
      <c r="O38" s="49" t="inlineStr"/>
      <c r="P38" s="47">
        <f>IF(COUNT(D38:O38)=0,"",SUM(D38:O38))</f>
        <v/>
      </c>
      <c r="Q38" s="65">
        <f>IF(P38="","",P38/$P$4)</f>
        <v/>
      </c>
      <c r="R38" s="50">
        <f>IF(Q38="","",LOOKUP(ROUND(Q38,6),Notentabelle!$C$4:$C$19,Notentabelle!$A$4:$A$19))</f>
        <v/>
      </c>
      <c r="S38" s="22">
        <f>IF(R38="","",INDEX(Notentabelle!$B$4:$B$19,R38+1))</f>
        <v/>
      </c>
      <c r="T38" s="66" t="inlineStr"/>
    </row>
    <row r="39">
      <c r="A39" s="37" t="n">
        <v>32</v>
      </c>
      <c r="B39" s="31">
        <f>IF(INDEX(Klassenliste!$B$6:$B$40,32)=0,"",INDEX(Klassenliste!$B$6:$B$40,32))</f>
        <v/>
      </c>
      <c r="C39" s="31">
        <f>IF(INDEX(Klassenliste!$C$6:$C$40,32)=0,"",INDEX(Klassenliste!$C$6:$C$40,32))</f>
        <v/>
      </c>
      <c r="D39" s="49" t="inlineStr"/>
      <c r="E39" s="49" t="inlineStr"/>
      <c r="F39" s="49" t="inlineStr"/>
      <c r="G39" s="49" t="inlineStr"/>
      <c r="H39" s="49" t="inlineStr"/>
      <c r="I39" s="49" t="inlineStr"/>
      <c r="J39" s="49" t="inlineStr"/>
      <c r="K39" s="49" t="inlineStr"/>
      <c r="L39" s="49" t="inlineStr"/>
      <c r="M39" s="49" t="inlineStr"/>
      <c r="N39" s="49" t="inlineStr"/>
      <c r="O39" s="49" t="inlineStr"/>
      <c r="P39" s="47">
        <f>IF(COUNT(D39:O39)=0,"",SUM(D39:O39))</f>
        <v/>
      </c>
      <c r="Q39" s="65">
        <f>IF(P39="","",P39/$P$4)</f>
        <v/>
      </c>
      <c r="R39" s="50">
        <f>IF(Q39="","",LOOKUP(ROUND(Q39,6),Notentabelle!$C$4:$C$19,Notentabelle!$A$4:$A$19))</f>
        <v/>
      </c>
      <c r="S39" s="22">
        <f>IF(R39="","",INDEX(Notentabelle!$B$4:$B$19,R39+1))</f>
        <v/>
      </c>
      <c r="T39" s="66" t="inlineStr"/>
    </row>
    <row r="40">
      <c r="A40" s="37" t="n">
        <v>33</v>
      </c>
      <c r="B40" s="31">
        <f>IF(INDEX(Klassenliste!$B$6:$B$40,33)=0,"",INDEX(Klassenliste!$B$6:$B$40,33))</f>
        <v/>
      </c>
      <c r="C40" s="31">
        <f>IF(INDEX(Klassenliste!$C$6:$C$40,33)=0,"",INDEX(Klassenliste!$C$6:$C$40,33))</f>
        <v/>
      </c>
      <c r="D40" s="49" t="inlineStr"/>
      <c r="E40" s="49" t="inlineStr"/>
      <c r="F40" s="49" t="inlineStr"/>
      <c r="G40" s="49" t="inlineStr"/>
      <c r="H40" s="49" t="inlineStr"/>
      <c r="I40" s="49" t="inlineStr"/>
      <c r="J40" s="49" t="inlineStr"/>
      <c r="K40" s="49" t="inlineStr"/>
      <c r="L40" s="49" t="inlineStr"/>
      <c r="M40" s="49" t="inlineStr"/>
      <c r="N40" s="49" t="inlineStr"/>
      <c r="O40" s="49" t="inlineStr"/>
      <c r="P40" s="47">
        <f>IF(COUNT(D40:O40)=0,"",SUM(D40:O40))</f>
        <v/>
      </c>
      <c r="Q40" s="65">
        <f>IF(P40="","",P40/$P$4)</f>
        <v/>
      </c>
      <c r="R40" s="50">
        <f>IF(Q40="","",LOOKUP(ROUND(Q40,6),Notentabelle!$C$4:$C$19,Notentabelle!$A$4:$A$19))</f>
        <v/>
      </c>
      <c r="S40" s="22">
        <f>IF(R40="","",INDEX(Notentabelle!$B$4:$B$19,R40+1))</f>
        <v/>
      </c>
      <c r="T40" s="66" t="inlineStr"/>
    </row>
    <row r="41">
      <c r="A41" s="37" t="n">
        <v>34</v>
      </c>
      <c r="B41" s="31">
        <f>IF(INDEX(Klassenliste!$B$6:$B$40,34)=0,"",INDEX(Klassenliste!$B$6:$B$40,34))</f>
        <v/>
      </c>
      <c r="C41" s="31">
        <f>IF(INDEX(Klassenliste!$C$6:$C$40,34)=0,"",INDEX(Klassenliste!$C$6:$C$40,34))</f>
        <v/>
      </c>
      <c r="D41" s="49" t="inlineStr"/>
      <c r="E41" s="49" t="inlineStr"/>
      <c r="F41" s="49" t="inlineStr"/>
      <c r="G41" s="49" t="inlineStr"/>
      <c r="H41" s="49" t="inlineStr"/>
      <c r="I41" s="49" t="inlineStr"/>
      <c r="J41" s="49" t="inlineStr"/>
      <c r="K41" s="49" t="inlineStr"/>
      <c r="L41" s="49" t="inlineStr"/>
      <c r="M41" s="49" t="inlineStr"/>
      <c r="N41" s="49" t="inlineStr"/>
      <c r="O41" s="49" t="inlineStr"/>
      <c r="P41" s="47">
        <f>IF(COUNT(D41:O41)=0,"",SUM(D41:O41))</f>
        <v/>
      </c>
      <c r="Q41" s="65">
        <f>IF(P41="","",P41/$P$4)</f>
        <v/>
      </c>
      <c r="R41" s="50">
        <f>IF(Q41="","",LOOKUP(ROUND(Q41,6),Notentabelle!$C$4:$C$19,Notentabelle!$A$4:$A$19))</f>
        <v/>
      </c>
      <c r="S41" s="22">
        <f>IF(R41="","",INDEX(Notentabelle!$B$4:$B$19,R41+1))</f>
        <v/>
      </c>
      <c r="T41" s="66" t="inlineStr"/>
    </row>
    <row r="42">
      <c r="A42" s="37" t="n">
        <v>35</v>
      </c>
      <c r="B42" s="31">
        <f>IF(INDEX(Klassenliste!$B$6:$B$40,35)=0,"",INDEX(Klassenliste!$B$6:$B$40,35))</f>
        <v/>
      </c>
      <c r="C42" s="31">
        <f>IF(INDEX(Klassenliste!$C$6:$C$40,35)=0,"",INDEX(Klassenliste!$C$6:$C$40,35))</f>
        <v/>
      </c>
      <c r="D42" s="49" t="inlineStr"/>
      <c r="E42" s="49" t="inlineStr"/>
      <c r="F42" s="49" t="inlineStr"/>
      <c r="G42" s="49" t="inlineStr"/>
      <c r="H42" s="49" t="inlineStr"/>
      <c r="I42" s="49" t="inlineStr"/>
      <c r="J42" s="49" t="inlineStr"/>
      <c r="K42" s="49" t="inlineStr"/>
      <c r="L42" s="49" t="inlineStr"/>
      <c r="M42" s="49" t="inlineStr"/>
      <c r="N42" s="49" t="inlineStr"/>
      <c r="O42" s="49" t="inlineStr"/>
      <c r="P42" s="47">
        <f>IF(COUNT(D42:O42)=0,"",SUM(D42:O42))</f>
        <v/>
      </c>
      <c r="Q42" s="65">
        <f>IF(P42="","",P42/$P$4)</f>
        <v/>
      </c>
      <c r="R42" s="50">
        <f>IF(Q42="","",LOOKUP(ROUND(Q42,6),Notentabelle!$C$4:$C$19,Notentabelle!$A$4:$A$19))</f>
        <v/>
      </c>
      <c r="S42" s="22">
        <f>IF(R42="","",INDEX(Notentabelle!$B$4:$B$19,R42+1))</f>
        <v/>
      </c>
      <c r="T42" s="66" t="inlineStr"/>
    </row>
    <row r="45">
      <c r="B45" s="53" t="inlineStr">
        <is>
          <t>Notenspiegel</t>
        </is>
      </c>
      <c r="D45" s="17" t="n">
        <v>15</v>
      </c>
      <c r="E45" s="17" t="n">
        <v>14</v>
      </c>
      <c r="F45" s="17" t="n">
        <v>13</v>
      </c>
      <c r="G45" s="17" t="n">
        <v>12</v>
      </c>
      <c r="H45" s="17" t="n">
        <v>11</v>
      </c>
      <c r="I45" s="17" t="n">
        <v>10</v>
      </c>
      <c r="J45" s="17" t="n">
        <v>9</v>
      </c>
      <c r="K45" s="17" t="n">
        <v>8</v>
      </c>
      <c r="L45" s="17" t="n">
        <v>7</v>
      </c>
      <c r="M45" s="17" t="n">
        <v>6</v>
      </c>
      <c r="N45" s="17" t="n">
        <v>5</v>
      </c>
      <c r="O45" s="17" t="n">
        <v>4</v>
      </c>
      <c r="P45" s="17" t="n">
        <v>3</v>
      </c>
      <c r="Q45" s="17" t="n">
        <v>2</v>
      </c>
      <c r="R45" s="17" t="n">
        <v>1</v>
      </c>
      <c r="S45" s="17" t="n">
        <v>0</v>
      </c>
    </row>
    <row r="46">
      <c r="D46" s="19">
        <f>COUNTIF($R$8:$R$42,15)</f>
        <v/>
      </c>
      <c r="E46" s="19">
        <f>COUNTIF($R$8:$R$42,14)</f>
        <v/>
      </c>
      <c r="F46" s="19">
        <f>COUNTIF($R$8:$R$42,13)</f>
        <v/>
      </c>
      <c r="G46" s="19">
        <f>COUNTIF($R$8:$R$42,12)</f>
        <v/>
      </c>
      <c r="H46" s="19">
        <f>COUNTIF($R$8:$R$42,11)</f>
        <v/>
      </c>
      <c r="I46" s="19">
        <f>COUNTIF($R$8:$R$42,10)</f>
        <v/>
      </c>
      <c r="J46" s="19">
        <f>COUNTIF($R$8:$R$42,9)</f>
        <v/>
      </c>
      <c r="K46" s="19">
        <f>COUNTIF($R$8:$R$42,8)</f>
        <v/>
      </c>
      <c r="L46" s="19">
        <f>COUNTIF($R$8:$R$42,7)</f>
        <v/>
      </c>
      <c r="M46" s="19">
        <f>COUNTIF($R$8:$R$42,6)</f>
        <v/>
      </c>
      <c r="N46" s="19">
        <f>COUNTIF($R$8:$R$42,5)</f>
        <v/>
      </c>
      <c r="O46" s="19">
        <f>COUNTIF($R$8:$R$42,4)</f>
        <v/>
      </c>
      <c r="P46" s="19">
        <f>COUNTIF($R$8:$R$42,3)</f>
        <v/>
      </c>
      <c r="Q46" s="19">
        <f>COUNTIF($R$8:$R$42,2)</f>
        <v/>
      </c>
      <c r="R46" s="19">
        <f>COUNTIF($R$8:$R$42,1)</f>
        <v/>
      </c>
      <c r="S46" s="19">
        <f>COUNTIF($R$8:$R$42,0)</f>
        <v/>
      </c>
    </row>
    <row r="47">
      <c r="D47" s="53" t="inlineStr">
        <is>
          <t>Defizite (unter 5 P):</t>
        </is>
      </c>
      <c r="G47" s="19">
        <f>COUNTIF($R$8:$R$42,"&lt;5")</f>
        <v/>
      </c>
      <c r="I47" s="53" t="inlineStr">
        <is>
          <t>Ø Punkte:</t>
        </is>
      </c>
      <c r="K47" s="67">
        <f>IFERROR(ROUND(AVERAGE(R8:R42),1),"")</f>
        <v/>
      </c>
    </row>
    <row r="48">
      <c r="B48" s="53" t="inlineStr">
        <is>
          <t>nach Noten</t>
        </is>
      </c>
      <c r="D48" s="17" t="inlineStr">
        <is>
          <t>Note 1</t>
        </is>
      </c>
      <c r="E48" s="17" t="inlineStr">
        <is>
          <t>Note 2</t>
        </is>
      </c>
      <c r="F48" s="17" t="inlineStr">
        <is>
          <t>Note 3</t>
        </is>
      </c>
      <c r="G48" s="17" t="inlineStr">
        <is>
          <t>Note 4</t>
        </is>
      </c>
      <c r="H48" s="17" t="inlineStr">
        <is>
          <t>Note 5</t>
        </is>
      </c>
      <c r="I48" s="17" t="inlineStr">
        <is>
          <t>Note 6</t>
        </is>
      </c>
    </row>
    <row r="49">
      <c r="D49" s="19">
        <f>COUNTIF($R$8:$R$42,"&gt;=13")</f>
        <v/>
      </c>
      <c r="E49" s="19">
        <f>COUNTIFS($R$8:$R$42,"&gt;=10",$R$8:$R$42,"&lt;=12")</f>
        <v/>
      </c>
      <c r="F49" s="19">
        <f>COUNTIFS($R$8:$R$42,"&gt;=7",$R$8:$R$42,"&lt;=9")</f>
        <v/>
      </c>
      <c r="G49" s="19">
        <f>COUNTIFS($R$8:$R$42,"&gt;=4",$R$8:$R$42,"&lt;=6")</f>
        <v/>
      </c>
      <c r="H49" s="19">
        <f>COUNTIFS($R$8:$R$42,"&gt;=1",$R$8:$R$42,"&lt;=3")</f>
        <v/>
      </c>
      <c r="I49" s="19">
        <f>COUNTIF($R$8:$R$42,0)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L2:S2"/>
    <mergeCell ref="C2:G2"/>
    <mergeCell ref="J2:K2"/>
    <mergeCell ref="A1:R1"/>
  </mergeCells>
  <conditionalFormatting sqref="D46:S46">
    <cfRule type="dataBar" priority="1">
      <dataBar showValue="1">
        <cfvo type="num" val="0"/>
        <cfvo type="max"/>
        <color rgb="0035596E"/>
      </dataBar>
    </cfRule>
  </conditionalFormatting>
  <conditionalFormatting sqref="D49:I49">
    <cfRule type="dataBar" priority="2">
      <dataBar showValue="1">
        <cfvo type="num" val="0"/>
        <cfvo type="max"/>
        <color rgb="0035596E"/>
      </dataBar>
    </cfRule>
  </conditionalFormatting>
  <conditionalFormatting sqref="A8:S42">
    <cfRule type="expression" priority="3" dxfId="1" stopIfTrue="1">
      <formula>$B8=""</formula>
    </cfRule>
  </conditionalFormatting>
  <conditionalFormatting sqref="D8:O42">
    <cfRule type="expression" priority="4" dxfId="5">
      <formula>AND(D8&lt;&gt;"",OR(NOT(ISNUMBER(D8)),D8&lt;0,D$4="",AND(ISNUMBER(D$4),D8&gt;D$4)))</formula>
    </cfRule>
    <cfRule type="expression" priority="8" dxfId="6">
      <formula>D$4=""</formula>
    </cfRule>
  </conditionalFormatting>
  <conditionalFormatting sqref="D4:O4">
    <cfRule type="expression" priority="5" dxfId="5">
      <formula>AND(D4&lt;&gt;"",NOT(ISNUMBER(D4)))</formula>
    </cfRule>
  </conditionalFormatting>
  <conditionalFormatting sqref="Q8:Q42">
    <cfRule type="expression" priority="6" dxfId="5">
      <formula>AND(ISNUMBER(Q8),OR(Q8&gt;1,Q8&lt;0))</formula>
    </cfRule>
  </conditionalFormatting>
  <conditionalFormatting sqref="R8:R42">
    <cfRule type="expression" priority="7" dxfId="2">
      <formula>AND(ISNUMBER(R8),R8&lt;5)</formula>
    </cfRule>
  </conditionalFormatting>
  <conditionalFormatting sqref="D3:O3">
    <cfRule type="expression" priority="9" dxfId="6">
      <formula>D$4=""</formula>
    </cfRule>
  </conditionalFormatting>
  <dataValidations count="2">
    <dataValidation sqref="D4:O4" showDropDown="0" showInputMessage="0" showErrorMessage="1" allowBlank="1" errorTitle="Ungültige Maximalpunkte" error="Bitte eine Zahl zwischen 0 und 999 eintragen." type="decimal" operator="between">
      <formula1>0</formula1>
      <formula2>999</formula2>
    </dataValidation>
    <dataValidation sqref="D8:O42" showDropDown="0" showInputMessage="0" showErrorMessage="1" allowBlank="1" errorTitle="Ungültige Punktzahl" error="Nur Zahlen von 0 bis zur Maximalpunktzahl dieser Aufgabe." type="custom">
      <formula1>AND(ISNUMBER(D8),D8&gt;=0,D8&lt;=D$4)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tabColor rgb="00D8DDE0"/>
    <outlinePr summaryBelow="1" summaryRight="1"/>
    <pageSetUpPr fitToPage="1"/>
  </sheetPr>
  <dimension ref="A1:T49"/>
  <sheetViews>
    <sheetView showGridLines="0" zoomScale="10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7" customWidth="1" min="16" max="16"/>
    <col width="8" customWidth="1" min="17" max="17"/>
    <col width="8" customWidth="1" min="18" max="18"/>
    <col width="12" customWidth="1" min="19" max="19"/>
    <col width="48" customWidth="1" min="20" max="20"/>
  </cols>
  <sheetData>
    <row r="1" ht="26" customHeight="1">
      <c r="A1" s="1" t="inlineStr">
        <is>
          <t>Klausur 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8">
        <f>HYPERLINK("#Start!A1","⌂")</f>
        <v/>
      </c>
    </row>
    <row r="2">
      <c r="B2" s="53" t="inlineStr">
        <is>
          <t>Thema:</t>
        </is>
      </c>
      <c r="C2" s="11" t="inlineStr"/>
      <c r="D2" s="54" t="n"/>
      <c r="E2" s="54" t="n"/>
      <c r="F2" s="54" t="n"/>
      <c r="G2" s="54" t="n"/>
      <c r="I2" s="53" t="inlineStr">
        <is>
          <t>Datum:</t>
        </is>
      </c>
      <c r="J2" s="24" t="inlineStr"/>
      <c r="K2" s="55" t="n"/>
      <c r="L2" s="12">
        <f>Klassenliste!$E$2&amp;"  ·  "&amp;Klassenliste!$J$2&amp;"  ·  "&amp;Klassenliste!$H$2&amp;""</f>
        <v/>
      </c>
    </row>
    <row r="3">
      <c r="C3" s="18" t="inlineStr">
        <is>
          <t>Aufgabe</t>
        </is>
      </c>
      <c r="D3" s="56" t="inlineStr">
        <is>
          <t>A1</t>
        </is>
      </c>
      <c r="E3" s="56" t="inlineStr">
        <is>
          <t>A2</t>
        </is>
      </c>
      <c r="F3" s="56" t="inlineStr">
        <is>
          <t>A3</t>
        </is>
      </c>
      <c r="G3" s="56" t="inlineStr">
        <is>
          <t>A4</t>
        </is>
      </c>
      <c r="H3" s="56" t="inlineStr">
        <is>
          <t>A5</t>
        </is>
      </c>
      <c r="I3" s="56" t="inlineStr">
        <is>
          <t>A6</t>
        </is>
      </c>
      <c r="J3" s="56" t="inlineStr">
        <is>
          <t>A7</t>
        </is>
      </c>
      <c r="K3" s="56" t="inlineStr">
        <is>
          <t>A8</t>
        </is>
      </c>
      <c r="L3" s="56" t="inlineStr">
        <is>
          <t>A9</t>
        </is>
      </c>
      <c r="M3" s="56" t="inlineStr">
        <is>
          <t>A10</t>
        </is>
      </c>
      <c r="N3" s="56" t="inlineStr">
        <is>
          <t>A11</t>
        </is>
      </c>
      <c r="O3" s="56" t="inlineStr">
        <is>
          <t>A12</t>
        </is>
      </c>
      <c r="P3" s="45" t="inlineStr">
        <is>
          <t>Ges.</t>
        </is>
      </c>
    </row>
    <row r="4">
      <c r="C4" s="18" t="inlineStr">
        <is>
          <t>max. Punkte</t>
        </is>
      </c>
      <c r="D4" s="57" t="inlineStr"/>
      <c r="E4" s="57" t="inlineStr"/>
      <c r="F4" s="57" t="inlineStr"/>
      <c r="G4" s="57" t="inlineStr"/>
      <c r="H4" s="57" t="inlineStr"/>
      <c r="I4" s="57" t="inlineStr"/>
      <c r="J4" s="57" t="inlineStr"/>
      <c r="K4" s="57" t="inlineStr"/>
      <c r="L4" s="57" t="inlineStr"/>
      <c r="M4" s="57" t="inlineStr"/>
      <c r="N4" s="57" t="inlineStr"/>
      <c r="O4" s="57" t="inlineStr"/>
      <c r="P4" s="58">
        <f>IF(COUNT(D4:O4)=0,"",SUM(D4:O4))</f>
        <v/>
      </c>
    </row>
    <row r="5">
      <c r="C5" s="18" t="inlineStr">
        <is>
          <t>Schnitt</t>
        </is>
      </c>
      <c r="D5" s="59">
        <f>IF(D$4="","",IFERROR(ROUND(AVERAGE(D8:D42),2),""))</f>
        <v/>
      </c>
      <c r="E5" s="59">
        <f>IF(E$4="","",IFERROR(ROUND(AVERAGE(E8:E42),2),""))</f>
        <v/>
      </c>
      <c r="F5" s="59">
        <f>IF(F$4="","",IFERROR(ROUND(AVERAGE(F8:F42),2),""))</f>
        <v/>
      </c>
      <c r="G5" s="59">
        <f>IF(G$4="","",IFERROR(ROUND(AVERAGE(G8:G42),2),""))</f>
        <v/>
      </c>
      <c r="H5" s="59">
        <f>IF(H$4="","",IFERROR(ROUND(AVERAGE(H8:H42),2),""))</f>
        <v/>
      </c>
      <c r="I5" s="59">
        <f>IF(I$4="","",IFERROR(ROUND(AVERAGE(I8:I42),2),""))</f>
        <v/>
      </c>
      <c r="J5" s="59">
        <f>IF(J$4="","",IFERROR(ROUND(AVERAGE(J8:J42),2),""))</f>
        <v/>
      </c>
      <c r="K5" s="59">
        <f>IF(K$4="","",IFERROR(ROUND(AVERAGE(K8:K42),2),""))</f>
        <v/>
      </c>
      <c r="L5" s="59">
        <f>IF(L$4="","",IFERROR(ROUND(AVERAGE(L8:L42),2),""))</f>
        <v/>
      </c>
      <c r="M5" s="59">
        <f>IF(M$4="","",IFERROR(ROUND(AVERAGE(M8:M42),2),""))</f>
        <v/>
      </c>
      <c r="N5" s="59">
        <f>IF(N$4="","",IFERROR(ROUND(AVERAGE(N8:N42),2),""))</f>
        <v/>
      </c>
      <c r="O5" s="59">
        <f>IF(O$4="","",IFERROR(ROUND(AVERAGE(O8:O42),2),""))</f>
        <v/>
      </c>
      <c r="P5" s="60">
        <f>IFERROR(ROUND(AVERAGE(P8:P42),2),"")</f>
        <v/>
      </c>
    </row>
    <row r="6">
      <c r="A6" s="61" t="n"/>
      <c r="B6" s="61" t="n"/>
      <c r="C6" s="62" t="inlineStr">
        <is>
          <t>Schnitt %</t>
        </is>
      </c>
      <c r="D6" s="63">
        <f>IF(D$4="","",IFERROR(D5/D$4,""))</f>
        <v/>
      </c>
      <c r="E6" s="63">
        <f>IF(E$4="","",IFERROR(E5/E$4,""))</f>
        <v/>
      </c>
      <c r="F6" s="63">
        <f>IF(F$4="","",IFERROR(F5/F$4,""))</f>
        <v/>
      </c>
      <c r="G6" s="63">
        <f>IF(G$4="","",IFERROR(G5/G$4,""))</f>
        <v/>
      </c>
      <c r="H6" s="63">
        <f>IF(H$4="","",IFERROR(H5/H$4,""))</f>
        <v/>
      </c>
      <c r="I6" s="63">
        <f>IF(I$4="","",IFERROR(I5/I$4,""))</f>
        <v/>
      </c>
      <c r="J6" s="63">
        <f>IF(J$4="","",IFERROR(J5/J$4,""))</f>
        <v/>
      </c>
      <c r="K6" s="63">
        <f>IF(K$4="","",IFERROR(K5/K$4,""))</f>
        <v/>
      </c>
      <c r="L6" s="63">
        <f>IF(L$4="","",IFERROR(L5/L$4,""))</f>
        <v/>
      </c>
      <c r="M6" s="63">
        <f>IF(M$4="","",IFERROR(M5/M$4,""))</f>
        <v/>
      </c>
      <c r="N6" s="63">
        <f>IF(N$4="","",IFERROR(N5/N$4,""))</f>
        <v/>
      </c>
      <c r="O6" s="63">
        <f>IF(O$4="","",IFERROR(O5/O$4,""))</f>
        <v/>
      </c>
      <c r="P6" s="64">
        <f>IFERROR(P5/P4,"")</f>
        <v/>
      </c>
      <c r="Q6" s="61" t="n"/>
      <c r="R6" s="61" t="n"/>
      <c r="S6" s="61" t="n"/>
    </row>
    <row r="7" ht="18" customHeight="1">
      <c r="A7" s="17" t="inlineStr">
        <is>
          <t>Nr</t>
        </is>
      </c>
      <c r="B7" s="18" t="inlineStr">
        <is>
          <t>Name</t>
        </is>
      </c>
      <c r="C7" s="18" t="inlineStr">
        <is>
          <t>Vorname</t>
        </is>
      </c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45" t="inlineStr">
        <is>
          <t>Ges.</t>
        </is>
      </c>
      <c r="Q7" s="17" t="inlineStr">
        <is>
          <t>%</t>
        </is>
      </c>
      <c r="R7" s="17" t="inlineStr">
        <is>
          <t>Punkte</t>
        </is>
      </c>
      <c r="S7" s="17" t="inlineStr">
        <is>
          <t>Note</t>
        </is>
      </c>
      <c r="T7" s="18" t="inlineStr">
        <is>
          <t>Lob / Hinweis</t>
        </is>
      </c>
    </row>
    <row r="8">
      <c r="A8" s="37" t="n">
        <v>1</v>
      </c>
      <c r="B8" s="31">
        <f>IF(INDEX(Klassenliste!$B$6:$B$40,1)=0,"",INDEX(Klassenliste!$B$6:$B$40,1))</f>
        <v/>
      </c>
      <c r="C8" s="31">
        <f>IF(INDEX(Klassenliste!$C$6:$C$40,1)=0,"",INDEX(Klassenliste!$C$6:$C$40,1))</f>
        <v/>
      </c>
      <c r="D8" s="49" t="inlineStr"/>
      <c r="E8" s="49" t="inlineStr"/>
      <c r="F8" s="49" t="inlineStr"/>
      <c r="G8" s="49" t="inlineStr"/>
      <c r="H8" s="49" t="inlineStr"/>
      <c r="I8" s="49" t="inlineStr"/>
      <c r="J8" s="49" t="inlineStr"/>
      <c r="K8" s="49" t="inlineStr"/>
      <c r="L8" s="49" t="inlineStr"/>
      <c r="M8" s="49" t="inlineStr"/>
      <c r="N8" s="49" t="inlineStr"/>
      <c r="O8" s="49" t="inlineStr"/>
      <c r="P8" s="47">
        <f>IF(COUNT(D8:O8)=0,"",SUM(D8:O8))</f>
        <v/>
      </c>
      <c r="Q8" s="65">
        <f>IF(P8="","",P8/$P$4)</f>
        <v/>
      </c>
      <c r="R8" s="50">
        <f>IF(Q8="","",LOOKUP(ROUND(Q8,6),Notentabelle!$C$4:$C$19,Notentabelle!$A$4:$A$19))</f>
        <v/>
      </c>
      <c r="S8" s="22">
        <f>IF(R8="","",INDEX(Notentabelle!$B$4:$B$19,R8+1))</f>
        <v/>
      </c>
      <c r="T8" s="66" t="inlineStr"/>
    </row>
    <row r="9">
      <c r="A9" s="37" t="n">
        <v>2</v>
      </c>
      <c r="B9" s="31">
        <f>IF(INDEX(Klassenliste!$B$6:$B$40,2)=0,"",INDEX(Klassenliste!$B$6:$B$40,2))</f>
        <v/>
      </c>
      <c r="C9" s="31">
        <f>IF(INDEX(Klassenliste!$C$6:$C$40,2)=0,"",INDEX(Klassenliste!$C$6:$C$40,2))</f>
        <v/>
      </c>
      <c r="D9" s="49" t="inlineStr"/>
      <c r="E9" s="49" t="inlineStr"/>
      <c r="F9" s="49" t="inlineStr"/>
      <c r="G9" s="49" t="inlineStr"/>
      <c r="H9" s="49" t="inlineStr"/>
      <c r="I9" s="49" t="inlineStr"/>
      <c r="J9" s="49" t="inlineStr"/>
      <c r="K9" s="49" t="inlineStr"/>
      <c r="L9" s="49" t="inlineStr"/>
      <c r="M9" s="49" t="inlineStr"/>
      <c r="N9" s="49" t="inlineStr"/>
      <c r="O9" s="49" t="inlineStr"/>
      <c r="P9" s="47">
        <f>IF(COUNT(D9:O9)=0,"",SUM(D9:O9))</f>
        <v/>
      </c>
      <c r="Q9" s="65">
        <f>IF(P9="","",P9/$P$4)</f>
        <v/>
      </c>
      <c r="R9" s="50">
        <f>IF(Q9="","",LOOKUP(ROUND(Q9,6),Notentabelle!$C$4:$C$19,Notentabelle!$A$4:$A$19))</f>
        <v/>
      </c>
      <c r="S9" s="22">
        <f>IF(R9="","",INDEX(Notentabelle!$B$4:$B$19,R9+1))</f>
        <v/>
      </c>
      <c r="T9" s="66" t="inlineStr"/>
    </row>
    <row r="10">
      <c r="A10" s="37" t="n">
        <v>3</v>
      </c>
      <c r="B10" s="31">
        <f>IF(INDEX(Klassenliste!$B$6:$B$40,3)=0,"",INDEX(Klassenliste!$B$6:$B$40,3))</f>
        <v/>
      </c>
      <c r="C10" s="31">
        <f>IF(INDEX(Klassenliste!$C$6:$C$40,3)=0,"",INDEX(Klassenliste!$C$6:$C$40,3))</f>
        <v/>
      </c>
      <c r="D10" s="49" t="inlineStr"/>
      <c r="E10" s="49" t="inlineStr"/>
      <c r="F10" s="49" t="inlineStr"/>
      <c r="G10" s="49" t="inlineStr"/>
      <c r="H10" s="49" t="inlineStr"/>
      <c r="I10" s="49" t="inlineStr"/>
      <c r="J10" s="49" t="inlineStr"/>
      <c r="K10" s="49" t="inlineStr"/>
      <c r="L10" s="49" t="inlineStr"/>
      <c r="M10" s="49" t="inlineStr"/>
      <c r="N10" s="49" t="inlineStr"/>
      <c r="O10" s="49" t="inlineStr"/>
      <c r="P10" s="47">
        <f>IF(COUNT(D10:O10)=0,"",SUM(D10:O10))</f>
        <v/>
      </c>
      <c r="Q10" s="65">
        <f>IF(P10="","",P10/$P$4)</f>
        <v/>
      </c>
      <c r="R10" s="50">
        <f>IF(Q10="","",LOOKUP(ROUND(Q10,6),Notentabelle!$C$4:$C$19,Notentabelle!$A$4:$A$19))</f>
        <v/>
      </c>
      <c r="S10" s="22">
        <f>IF(R10="","",INDEX(Notentabelle!$B$4:$B$19,R10+1))</f>
        <v/>
      </c>
      <c r="T10" s="66" t="inlineStr"/>
    </row>
    <row r="11">
      <c r="A11" s="37" t="n">
        <v>4</v>
      </c>
      <c r="B11" s="31">
        <f>IF(INDEX(Klassenliste!$B$6:$B$40,4)=0,"",INDEX(Klassenliste!$B$6:$B$40,4))</f>
        <v/>
      </c>
      <c r="C11" s="31">
        <f>IF(INDEX(Klassenliste!$C$6:$C$40,4)=0,"",INDEX(Klassenliste!$C$6:$C$40,4))</f>
        <v/>
      </c>
      <c r="D11" s="49" t="inlineStr"/>
      <c r="E11" s="49" t="inlineStr"/>
      <c r="F11" s="49" t="inlineStr"/>
      <c r="G11" s="49" t="inlineStr"/>
      <c r="H11" s="49" t="inlineStr"/>
      <c r="I11" s="49" t="inlineStr"/>
      <c r="J11" s="49" t="inlineStr"/>
      <c r="K11" s="49" t="inlineStr"/>
      <c r="L11" s="49" t="inlineStr"/>
      <c r="M11" s="49" t="inlineStr"/>
      <c r="N11" s="49" t="inlineStr"/>
      <c r="O11" s="49" t="inlineStr"/>
      <c r="P11" s="47">
        <f>IF(COUNT(D11:O11)=0,"",SUM(D11:O11))</f>
        <v/>
      </c>
      <c r="Q11" s="65">
        <f>IF(P11="","",P11/$P$4)</f>
        <v/>
      </c>
      <c r="R11" s="50">
        <f>IF(Q11="","",LOOKUP(ROUND(Q11,6),Notentabelle!$C$4:$C$19,Notentabelle!$A$4:$A$19))</f>
        <v/>
      </c>
      <c r="S11" s="22">
        <f>IF(R11="","",INDEX(Notentabelle!$B$4:$B$19,R11+1))</f>
        <v/>
      </c>
      <c r="T11" s="66" t="inlineStr"/>
    </row>
    <row r="12">
      <c r="A12" s="37" t="n">
        <v>5</v>
      </c>
      <c r="B12" s="31">
        <f>IF(INDEX(Klassenliste!$B$6:$B$40,5)=0,"",INDEX(Klassenliste!$B$6:$B$40,5))</f>
        <v/>
      </c>
      <c r="C12" s="31">
        <f>IF(INDEX(Klassenliste!$C$6:$C$40,5)=0,"",INDEX(Klassenliste!$C$6:$C$40,5))</f>
        <v/>
      </c>
      <c r="D12" s="49" t="inlineStr"/>
      <c r="E12" s="49" t="inlineStr"/>
      <c r="F12" s="49" t="inlineStr"/>
      <c r="G12" s="49" t="inlineStr"/>
      <c r="H12" s="49" t="inlineStr"/>
      <c r="I12" s="49" t="inlineStr"/>
      <c r="J12" s="49" t="inlineStr"/>
      <c r="K12" s="49" t="inlineStr"/>
      <c r="L12" s="49" t="inlineStr"/>
      <c r="M12" s="49" t="inlineStr"/>
      <c r="N12" s="49" t="inlineStr"/>
      <c r="O12" s="49" t="inlineStr"/>
      <c r="P12" s="47">
        <f>IF(COUNT(D12:O12)=0,"",SUM(D12:O12))</f>
        <v/>
      </c>
      <c r="Q12" s="65">
        <f>IF(P12="","",P12/$P$4)</f>
        <v/>
      </c>
      <c r="R12" s="50">
        <f>IF(Q12="","",LOOKUP(ROUND(Q12,6),Notentabelle!$C$4:$C$19,Notentabelle!$A$4:$A$19))</f>
        <v/>
      </c>
      <c r="S12" s="22">
        <f>IF(R12="","",INDEX(Notentabelle!$B$4:$B$19,R12+1))</f>
        <v/>
      </c>
      <c r="T12" s="66" t="inlineStr"/>
    </row>
    <row r="13">
      <c r="A13" s="37" t="n">
        <v>6</v>
      </c>
      <c r="B13" s="31">
        <f>IF(INDEX(Klassenliste!$B$6:$B$40,6)=0,"",INDEX(Klassenliste!$B$6:$B$40,6))</f>
        <v/>
      </c>
      <c r="C13" s="31">
        <f>IF(INDEX(Klassenliste!$C$6:$C$40,6)=0,"",INDEX(Klassenliste!$C$6:$C$40,6))</f>
        <v/>
      </c>
      <c r="D13" s="49" t="inlineStr"/>
      <c r="E13" s="49" t="inlineStr"/>
      <c r="F13" s="49" t="inlineStr"/>
      <c r="G13" s="49" t="inlineStr"/>
      <c r="H13" s="49" t="inlineStr"/>
      <c r="I13" s="49" t="inlineStr"/>
      <c r="J13" s="49" t="inlineStr"/>
      <c r="K13" s="49" t="inlineStr"/>
      <c r="L13" s="49" t="inlineStr"/>
      <c r="M13" s="49" t="inlineStr"/>
      <c r="N13" s="49" t="inlineStr"/>
      <c r="O13" s="49" t="inlineStr"/>
      <c r="P13" s="47">
        <f>IF(COUNT(D13:O13)=0,"",SUM(D13:O13))</f>
        <v/>
      </c>
      <c r="Q13" s="65">
        <f>IF(P13="","",P13/$P$4)</f>
        <v/>
      </c>
      <c r="R13" s="50">
        <f>IF(Q13="","",LOOKUP(ROUND(Q13,6),Notentabelle!$C$4:$C$19,Notentabelle!$A$4:$A$19))</f>
        <v/>
      </c>
      <c r="S13" s="22">
        <f>IF(R13="","",INDEX(Notentabelle!$B$4:$B$19,R13+1))</f>
        <v/>
      </c>
      <c r="T13" s="66" t="inlineStr"/>
    </row>
    <row r="14">
      <c r="A14" s="37" t="n">
        <v>7</v>
      </c>
      <c r="B14" s="31">
        <f>IF(INDEX(Klassenliste!$B$6:$B$40,7)=0,"",INDEX(Klassenliste!$B$6:$B$40,7))</f>
        <v/>
      </c>
      <c r="C14" s="31">
        <f>IF(INDEX(Klassenliste!$C$6:$C$40,7)=0,"",INDEX(Klassenliste!$C$6:$C$40,7))</f>
        <v/>
      </c>
      <c r="D14" s="49" t="inlineStr"/>
      <c r="E14" s="49" t="inlineStr"/>
      <c r="F14" s="49" t="inlineStr"/>
      <c r="G14" s="49" t="inlineStr"/>
      <c r="H14" s="49" t="inlineStr"/>
      <c r="I14" s="49" t="inlineStr"/>
      <c r="J14" s="49" t="inlineStr"/>
      <c r="K14" s="49" t="inlineStr"/>
      <c r="L14" s="49" t="inlineStr"/>
      <c r="M14" s="49" t="inlineStr"/>
      <c r="N14" s="49" t="inlineStr"/>
      <c r="O14" s="49" t="inlineStr"/>
      <c r="P14" s="47">
        <f>IF(COUNT(D14:O14)=0,"",SUM(D14:O14))</f>
        <v/>
      </c>
      <c r="Q14" s="65">
        <f>IF(P14="","",P14/$P$4)</f>
        <v/>
      </c>
      <c r="R14" s="50">
        <f>IF(Q14="","",LOOKUP(ROUND(Q14,6),Notentabelle!$C$4:$C$19,Notentabelle!$A$4:$A$19))</f>
        <v/>
      </c>
      <c r="S14" s="22">
        <f>IF(R14="","",INDEX(Notentabelle!$B$4:$B$19,R14+1))</f>
        <v/>
      </c>
      <c r="T14" s="66" t="inlineStr"/>
    </row>
    <row r="15">
      <c r="A15" s="37" t="n">
        <v>8</v>
      </c>
      <c r="B15" s="31">
        <f>IF(INDEX(Klassenliste!$B$6:$B$40,8)=0,"",INDEX(Klassenliste!$B$6:$B$40,8))</f>
        <v/>
      </c>
      <c r="C15" s="31">
        <f>IF(INDEX(Klassenliste!$C$6:$C$40,8)=0,"",INDEX(Klassenliste!$C$6:$C$40,8))</f>
        <v/>
      </c>
      <c r="D15" s="49" t="inlineStr"/>
      <c r="E15" s="49" t="inlineStr"/>
      <c r="F15" s="49" t="inlineStr"/>
      <c r="G15" s="49" t="inlineStr"/>
      <c r="H15" s="49" t="inlineStr"/>
      <c r="I15" s="49" t="inlineStr"/>
      <c r="J15" s="49" t="inlineStr"/>
      <c r="K15" s="49" t="inlineStr"/>
      <c r="L15" s="49" t="inlineStr"/>
      <c r="M15" s="49" t="inlineStr"/>
      <c r="N15" s="49" t="inlineStr"/>
      <c r="O15" s="49" t="inlineStr"/>
      <c r="P15" s="47">
        <f>IF(COUNT(D15:O15)=0,"",SUM(D15:O15))</f>
        <v/>
      </c>
      <c r="Q15" s="65">
        <f>IF(P15="","",P15/$P$4)</f>
        <v/>
      </c>
      <c r="R15" s="50">
        <f>IF(Q15="","",LOOKUP(ROUND(Q15,6),Notentabelle!$C$4:$C$19,Notentabelle!$A$4:$A$19))</f>
        <v/>
      </c>
      <c r="S15" s="22">
        <f>IF(R15="","",INDEX(Notentabelle!$B$4:$B$19,R15+1))</f>
        <v/>
      </c>
      <c r="T15" s="66" t="inlineStr"/>
    </row>
    <row r="16">
      <c r="A16" s="37" t="n">
        <v>9</v>
      </c>
      <c r="B16" s="31">
        <f>IF(INDEX(Klassenliste!$B$6:$B$40,9)=0,"",INDEX(Klassenliste!$B$6:$B$40,9))</f>
        <v/>
      </c>
      <c r="C16" s="31">
        <f>IF(INDEX(Klassenliste!$C$6:$C$40,9)=0,"",INDEX(Klassenliste!$C$6:$C$40,9))</f>
        <v/>
      </c>
      <c r="D16" s="49" t="inlineStr"/>
      <c r="E16" s="49" t="inlineStr"/>
      <c r="F16" s="49" t="inlineStr"/>
      <c r="G16" s="49" t="inlineStr"/>
      <c r="H16" s="49" t="inlineStr"/>
      <c r="I16" s="49" t="inlineStr"/>
      <c r="J16" s="49" t="inlineStr"/>
      <c r="K16" s="49" t="inlineStr"/>
      <c r="L16" s="49" t="inlineStr"/>
      <c r="M16" s="49" t="inlineStr"/>
      <c r="N16" s="49" t="inlineStr"/>
      <c r="O16" s="49" t="inlineStr"/>
      <c r="P16" s="47">
        <f>IF(COUNT(D16:O16)=0,"",SUM(D16:O16))</f>
        <v/>
      </c>
      <c r="Q16" s="65">
        <f>IF(P16="","",P16/$P$4)</f>
        <v/>
      </c>
      <c r="R16" s="50">
        <f>IF(Q16="","",LOOKUP(ROUND(Q16,6),Notentabelle!$C$4:$C$19,Notentabelle!$A$4:$A$19))</f>
        <v/>
      </c>
      <c r="S16" s="22">
        <f>IF(R16="","",INDEX(Notentabelle!$B$4:$B$19,R16+1))</f>
        <v/>
      </c>
      <c r="T16" s="66" t="inlineStr"/>
    </row>
    <row r="17">
      <c r="A17" s="37" t="n">
        <v>10</v>
      </c>
      <c r="B17" s="31">
        <f>IF(INDEX(Klassenliste!$B$6:$B$40,10)=0,"",INDEX(Klassenliste!$B$6:$B$40,10))</f>
        <v/>
      </c>
      <c r="C17" s="31">
        <f>IF(INDEX(Klassenliste!$C$6:$C$40,10)=0,"",INDEX(Klassenliste!$C$6:$C$40,10))</f>
        <v/>
      </c>
      <c r="D17" s="49" t="inlineStr"/>
      <c r="E17" s="49" t="inlineStr"/>
      <c r="F17" s="49" t="inlineStr"/>
      <c r="G17" s="49" t="inlineStr"/>
      <c r="H17" s="49" t="inlineStr"/>
      <c r="I17" s="49" t="inlineStr"/>
      <c r="J17" s="49" t="inlineStr"/>
      <c r="K17" s="49" t="inlineStr"/>
      <c r="L17" s="49" t="inlineStr"/>
      <c r="M17" s="49" t="inlineStr"/>
      <c r="N17" s="49" t="inlineStr"/>
      <c r="O17" s="49" t="inlineStr"/>
      <c r="P17" s="47">
        <f>IF(COUNT(D17:O17)=0,"",SUM(D17:O17))</f>
        <v/>
      </c>
      <c r="Q17" s="65">
        <f>IF(P17="","",P17/$P$4)</f>
        <v/>
      </c>
      <c r="R17" s="50">
        <f>IF(Q17="","",LOOKUP(ROUND(Q17,6),Notentabelle!$C$4:$C$19,Notentabelle!$A$4:$A$19))</f>
        <v/>
      </c>
      <c r="S17" s="22">
        <f>IF(R17="","",INDEX(Notentabelle!$B$4:$B$19,R17+1))</f>
        <v/>
      </c>
      <c r="T17" s="66" t="inlineStr"/>
    </row>
    <row r="18">
      <c r="A18" s="37" t="n">
        <v>11</v>
      </c>
      <c r="B18" s="31">
        <f>IF(INDEX(Klassenliste!$B$6:$B$40,11)=0,"",INDEX(Klassenliste!$B$6:$B$40,11))</f>
        <v/>
      </c>
      <c r="C18" s="31">
        <f>IF(INDEX(Klassenliste!$C$6:$C$40,11)=0,"",INDEX(Klassenliste!$C$6:$C$40,11))</f>
        <v/>
      </c>
      <c r="D18" s="49" t="inlineStr"/>
      <c r="E18" s="49" t="inlineStr"/>
      <c r="F18" s="49" t="inlineStr"/>
      <c r="G18" s="49" t="inlineStr"/>
      <c r="H18" s="49" t="inlineStr"/>
      <c r="I18" s="49" t="inlineStr"/>
      <c r="J18" s="49" t="inlineStr"/>
      <c r="K18" s="49" t="inlineStr"/>
      <c r="L18" s="49" t="inlineStr"/>
      <c r="M18" s="49" t="inlineStr"/>
      <c r="N18" s="49" t="inlineStr"/>
      <c r="O18" s="49" t="inlineStr"/>
      <c r="P18" s="47">
        <f>IF(COUNT(D18:O18)=0,"",SUM(D18:O18))</f>
        <v/>
      </c>
      <c r="Q18" s="65">
        <f>IF(P18="","",P18/$P$4)</f>
        <v/>
      </c>
      <c r="R18" s="50">
        <f>IF(Q18="","",LOOKUP(ROUND(Q18,6),Notentabelle!$C$4:$C$19,Notentabelle!$A$4:$A$19))</f>
        <v/>
      </c>
      <c r="S18" s="22">
        <f>IF(R18="","",INDEX(Notentabelle!$B$4:$B$19,R18+1))</f>
        <v/>
      </c>
      <c r="T18" s="66" t="inlineStr"/>
    </row>
    <row r="19">
      <c r="A19" s="37" t="n">
        <v>12</v>
      </c>
      <c r="B19" s="31">
        <f>IF(INDEX(Klassenliste!$B$6:$B$40,12)=0,"",INDEX(Klassenliste!$B$6:$B$40,12))</f>
        <v/>
      </c>
      <c r="C19" s="31">
        <f>IF(INDEX(Klassenliste!$C$6:$C$40,12)=0,"",INDEX(Klassenliste!$C$6:$C$40,12))</f>
        <v/>
      </c>
      <c r="D19" s="49" t="inlineStr"/>
      <c r="E19" s="49" t="inlineStr"/>
      <c r="F19" s="49" t="inlineStr"/>
      <c r="G19" s="49" t="inlineStr"/>
      <c r="H19" s="49" t="inlineStr"/>
      <c r="I19" s="49" t="inlineStr"/>
      <c r="J19" s="49" t="inlineStr"/>
      <c r="K19" s="49" t="inlineStr"/>
      <c r="L19" s="49" t="inlineStr"/>
      <c r="M19" s="49" t="inlineStr"/>
      <c r="N19" s="49" t="inlineStr"/>
      <c r="O19" s="49" t="inlineStr"/>
      <c r="P19" s="47">
        <f>IF(COUNT(D19:O19)=0,"",SUM(D19:O19))</f>
        <v/>
      </c>
      <c r="Q19" s="65">
        <f>IF(P19="","",P19/$P$4)</f>
        <v/>
      </c>
      <c r="R19" s="50">
        <f>IF(Q19="","",LOOKUP(ROUND(Q19,6),Notentabelle!$C$4:$C$19,Notentabelle!$A$4:$A$19))</f>
        <v/>
      </c>
      <c r="S19" s="22">
        <f>IF(R19="","",INDEX(Notentabelle!$B$4:$B$19,R19+1))</f>
        <v/>
      </c>
      <c r="T19" s="66" t="inlineStr"/>
    </row>
    <row r="20">
      <c r="A20" s="37" t="n">
        <v>13</v>
      </c>
      <c r="B20" s="31">
        <f>IF(INDEX(Klassenliste!$B$6:$B$40,13)=0,"",INDEX(Klassenliste!$B$6:$B$40,13))</f>
        <v/>
      </c>
      <c r="C20" s="31">
        <f>IF(INDEX(Klassenliste!$C$6:$C$40,13)=0,"",INDEX(Klassenliste!$C$6:$C$40,13))</f>
        <v/>
      </c>
      <c r="D20" s="49" t="inlineStr"/>
      <c r="E20" s="49" t="inlineStr"/>
      <c r="F20" s="49" t="inlineStr"/>
      <c r="G20" s="49" t="inlineStr"/>
      <c r="H20" s="49" t="inlineStr"/>
      <c r="I20" s="49" t="inlineStr"/>
      <c r="J20" s="49" t="inlineStr"/>
      <c r="K20" s="49" t="inlineStr"/>
      <c r="L20" s="49" t="inlineStr"/>
      <c r="M20" s="49" t="inlineStr"/>
      <c r="N20" s="49" t="inlineStr"/>
      <c r="O20" s="49" t="inlineStr"/>
      <c r="P20" s="47">
        <f>IF(COUNT(D20:O20)=0,"",SUM(D20:O20))</f>
        <v/>
      </c>
      <c r="Q20" s="65">
        <f>IF(P20="","",P20/$P$4)</f>
        <v/>
      </c>
      <c r="R20" s="50">
        <f>IF(Q20="","",LOOKUP(ROUND(Q20,6),Notentabelle!$C$4:$C$19,Notentabelle!$A$4:$A$19))</f>
        <v/>
      </c>
      <c r="S20" s="22">
        <f>IF(R20="","",INDEX(Notentabelle!$B$4:$B$19,R20+1))</f>
        <v/>
      </c>
      <c r="T20" s="66" t="inlineStr"/>
    </row>
    <row r="21">
      <c r="A21" s="37" t="n">
        <v>14</v>
      </c>
      <c r="B21" s="31">
        <f>IF(INDEX(Klassenliste!$B$6:$B$40,14)=0,"",INDEX(Klassenliste!$B$6:$B$40,14))</f>
        <v/>
      </c>
      <c r="C21" s="31">
        <f>IF(INDEX(Klassenliste!$C$6:$C$40,14)=0,"",INDEX(Klassenliste!$C$6:$C$40,14))</f>
        <v/>
      </c>
      <c r="D21" s="49" t="inlineStr"/>
      <c r="E21" s="49" t="inlineStr"/>
      <c r="F21" s="49" t="inlineStr"/>
      <c r="G21" s="49" t="inlineStr"/>
      <c r="H21" s="49" t="inlineStr"/>
      <c r="I21" s="49" t="inlineStr"/>
      <c r="J21" s="49" t="inlineStr"/>
      <c r="K21" s="49" t="inlineStr"/>
      <c r="L21" s="49" t="inlineStr"/>
      <c r="M21" s="49" t="inlineStr"/>
      <c r="N21" s="49" t="inlineStr"/>
      <c r="O21" s="49" t="inlineStr"/>
      <c r="P21" s="47">
        <f>IF(COUNT(D21:O21)=0,"",SUM(D21:O21))</f>
        <v/>
      </c>
      <c r="Q21" s="65">
        <f>IF(P21="","",P21/$P$4)</f>
        <v/>
      </c>
      <c r="R21" s="50">
        <f>IF(Q21="","",LOOKUP(ROUND(Q21,6),Notentabelle!$C$4:$C$19,Notentabelle!$A$4:$A$19))</f>
        <v/>
      </c>
      <c r="S21" s="22">
        <f>IF(R21="","",INDEX(Notentabelle!$B$4:$B$19,R21+1))</f>
        <v/>
      </c>
      <c r="T21" s="66" t="inlineStr"/>
    </row>
    <row r="22">
      <c r="A22" s="37" t="n">
        <v>15</v>
      </c>
      <c r="B22" s="31">
        <f>IF(INDEX(Klassenliste!$B$6:$B$40,15)=0,"",INDEX(Klassenliste!$B$6:$B$40,15))</f>
        <v/>
      </c>
      <c r="C22" s="31">
        <f>IF(INDEX(Klassenliste!$C$6:$C$40,15)=0,"",INDEX(Klassenliste!$C$6:$C$40,15))</f>
        <v/>
      </c>
      <c r="D22" s="49" t="inlineStr"/>
      <c r="E22" s="49" t="inlineStr"/>
      <c r="F22" s="49" t="inlineStr"/>
      <c r="G22" s="49" t="inlineStr"/>
      <c r="H22" s="49" t="inlineStr"/>
      <c r="I22" s="49" t="inlineStr"/>
      <c r="J22" s="49" t="inlineStr"/>
      <c r="K22" s="49" t="inlineStr"/>
      <c r="L22" s="49" t="inlineStr"/>
      <c r="M22" s="49" t="inlineStr"/>
      <c r="N22" s="49" t="inlineStr"/>
      <c r="O22" s="49" t="inlineStr"/>
      <c r="P22" s="47">
        <f>IF(COUNT(D22:O22)=0,"",SUM(D22:O22))</f>
        <v/>
      </c>
      <c r="Q22" s="65">
        <f>IF(P22="","",P22/$P$4)</f>
        <v/>
      </c>
      <c r="R22" s="50">
        <f>IF(Q22="","",LOOKUP(ROUND(Q22,6),Notentabelle!$C$4:$C$19,Notentabelle!$A$4:$A$19))</f>
        <v/>
      </c>
      <c r="S22" s="22">
        <f>IF(R22="","",INDEX(Notentabelle!$B$4:$B$19,R22+1))</f>
        <v/>
      </c>
      <c r="T22" s="66" t="inlineStr"/>
    </row>
    <row r="23">
      <c r="A23" s="37" t="n">
        <v>16</v>
      </c>
      <c r="B23" s="31">
        <f>IF(INDEX(Klassenliste!$B$6:$B$40,16)=0,"",INDEX(Klassenliste!$B$6:$B$40,16))</f>
        <v/>
      </c>
      <c r="C23" s="31">
        <f>IF(INDEX(Klassenliste!$C$6:$C$40,16)=0,"",INDEX(Klassenliste!$C$6:$C$40,16))</f>
        <v/>
      </c>
      <c r="D23" s="49" t="inlineStr"/>
      <c r="E23" s="49" t="inlineStr"/>
      <c r="F23" s="49" t="inlineStr"/>
      <c r="G23" s="49" t="inlineStr"/>
      <c r="H23" s="49" t="inlineStr"/>
      <c r="I23" s="49" t="inlineStr"/>
      <c r="J23" s="49" t="inlineStr"/>
      <c r="K23" s="49" t="inlineStr"/>
      <c r="L23" s="49" t="inlineStr"/>
      <c r="M23" s="49" t="inlineStr"/>
      <c r="N23" s="49" t="inlineStr"/>
      <c r="O23" s="49" t="inlineStr"/>
      <c r="P23" s="47">
        <f>IF(COUNT(D23:O23)=0,"",SUM(D23:O23))</f>
        <v/>
      </c>
      <c r="Q23" s="65">
        <f>IF(P23="","",P23/$P$4)</f>
        <v/>
      </c>
      <c r="R23" s="50">
        <f>IF(Q23="","",LOOKUP(ROUND(Q23,6),Notentabelle!$C$4:$C$19,Notentabelle!$A$4:$A$19))</f>
        <v/>
      </c>
      <c r="S23" s="22">
        <f>IF(R23="","",INDEX(Notentabelle!$B$4:$B$19,R23+1))</f>
        <v/>
      </c>
      <c r="T23" s="66" t="inlineStr"/>
    </row>
    <row r="24">
      <c r="A24" s="37" t="n">
        <v>17</v>
      </c>
      <c r="B24" s="31">
        <f>IF(INDEX(Klassenliste!$B$6:$B$40,17)=0,"",INDEX(Klassenliste!$B$6:$B$40,17))</f>
        <v/>
      </c>
      <c r="C24" s="31">
        <f>IF(INDEX(Klassenliste!$C$6:$C$40,17)=0,"",INDEX(Klassenliste!$C$6:$C$40,17))</f>
        <v/>
      </c>
      <c r="D24" s="49" t="inlineStr"/>
      <c r="E24" s="49" t="inlineStr"/>
      <c r="F24" s="49" t="inlineStr"/>
      <c r="G24" s="49" t="inlineStr"/>
      <c r="H24" s="49" t="inlineStr"/>
      <c r="I24" s="49" t="inlineStr"/>
      <c r="J24" s="49" t="inlineStr"/>
      <c r="K24" s="49" t="inlineStr"/>
      <c r="L24" s="49" t="inlineStr"/>
      <c r="M24" s="49" t="inlineStr"/>
      <c r="N24" s="49" t="inlineStr"/>
      <c r="O24" s="49" t="inlineStr"/>
      <c r="P24" s="47">
        <f>IF(COUNT(D24:O24)=0,"",SUM(D24:O24))</f>
        <v/>
      </c>
      <c r="Q24" s="65">
        <f>IF(P24="","",P24/$P$4)</f>
        <v/>
      </c>
      <c r="R24" s="50">
        <f>IF(Q24="","",LOOKUP(ROUND(Q24,6),Notentabelle!$C$4:$C$19,Notentabelle!$A$4:$A$19))</f>
        <v/>
      </c>
      <c r="S24" s="22">
        <f>IF(R24="","",INDEX(Notentabelle!$B$4:$B$19,R24+1))</f>
        <v/>
      </c>
      <c r="T24" s="66" t="inlineStr"/>
    </row>
    <row r="25">
      <c r="A25" s="37" t="n">
        <v>18</v>
      </c>
      <c r="B25" s="31">
        <f>IF(INDEX(Klassenliste!$B$6:$B$40,18)=0,"",INDEX(Klassenliste!$B$6:$B$40,18))</f>
        <v/>
      </c>
      <c r="C25" s="31">
        <f>IF(INDEX(Klassenliste!$C$6:$C$40,18)=0,"",INDEX(Klassenliste!$C$6:$C$40,18))</f>
        <v/>
      </c>
      <c r="D25" s="49" t="inlineStr"/>
      <c r="E25" s="49" t="inlineStr"/>
      <c r="F25" s="49" t="inlineStr"/>
      <c r="G25" s="49" t="inlineStr"/>
      <c r="H25" s="49" t="inlineStr"/>
      <c r="I25" s="49" t="inlineStr"/>
      <c r="J25" s="49" t="inlineStr"/>
      <c r="K25" s="49" t="inlineStr"/>
      <c r="L25" s="49" t="inlineStr"/>
      <c r="M25" s="49" t="inlineStr"/>
      <c r="N25" s="49" t="inlineStr"/>
      <c r="O25" s="49" t="inlineStr"/>
      <c r="P25" s="47">
        <f>IF(COUNT(D25:O25)=0,"",SUM(D25:O25))</f>
        <v/>
      </c>
      <c r="Q25" s="65">
        <f>IF(P25="","",P25/$P$4)</f>
        <v/>
      </c>
      <c r="R25" s="50">
        <f>IF(Q25="","",LOOKUP(ROUND(Q25,6),Notentabelle!$C$4:$C$19,Notentabelle!$A$4:$A$19))</f>
        <v/>
      </c>
      <c r="S25" s="22">
        <f>IF(R25="","",INDEX(Notentabelle!$B$4:$B$19,R25+1))</f>
        <v/>
      </c>
      <c r="T25" s="66" t="inlineStr"/>
    </row>
    <row r="26">
      <c r="A26" s="37" t="n">
        <v>19</v>
      </c>
      <c r="B26" s="31">
        <f>IF(INDEX(Klassenliste!$B$6:$B$40,19)=0,"",INDEX(Klassenliste!$B$6:$B$40,19))</f>
        <v/>
      </c>
      <c r="C26" s="31">
        <f>IF(INDEX(Klassenliste!$C$6:$C$40,19)=0,"",INDEX(Klassenliste!$C$6:$C$40,19))</f>
        <v/>
      </c>
      <c r="D26" s="49" t="inlineStr"/>
      <c r="E26" s="49" t="inlineStr"/>
      <c r="F26" s="49" t="inlineStr"/>
      <c r="G26" s="49" t="inlineStr"/>
      <c r="H26" s="49" t="inlineStr"/>
      <c r="I26" s="49" t="inlineStr"/>
      <c r="J26" s="49" t="inlineStr"/>
      <c r="K26" s="49" t="inlineStr"/>
      <c r="L26" s="49" t="inlineStr"/>
      <c r="M26" s="49" t="inlineStr"/>
      <c r="N26" s="49" t="inlineStr"/>
      <c r="O26" s="49" t="inlineStr"/>
      <c r="P26" s="47">
        <f>IF(COUNT(D26:O26)=0,"",SUM(D26:O26))</f>
        <v/>
      </c>
      <c r="Q26" s="65">
        <f>IF(P26="","",P26/$P$4)</f>
        <v/>
      </c>
      <c r="R26" s="50">
        <f>IF(Q26="","",LOOKUP(ROUND(Q26,6),Notentabelle!$C$4:$C$19,Notentabelle!$A$4:$A$19))</f>
        <v/>
      </c>
      <c r="S26" s="22">
        <f>IF(R26="","",INDEX(Notentabelle!$B$4:$B$19,R26+1))</f>
        <v/>
      </c>
      <c r="T26" s="66" t="inlineStr"/>
    </row>
    <row r="27">
      <c r="A27" s="37" t="n">
        <v>20</v>
      </c>
      <c r="B27" s="31">
        <f>IF(INDEX(Klassenliste!$B$6:$B$40,20)=0,"",INDEX(Klassenliste!$B$6:$B$40,20))</f>
        <v/>
      </c>
      <c r="C27" s="31">
        <f>IF(INDEX(Klassenliste!$C$6:$C$40,20)=0,"",INDEX(Klassenliste!$C$6:$C$40,20))</f>
        <v/>
      </c>
      <c r="D27" s="49" t="inlineStr"/>
      <c r="E27" s="49" t="inlineStr"/>
      <c r="F27" s="49" t="inlineStr"/>
      <c r="G27" s="49" t="inlineStr"/>
      <c r="H27" s="49" t="inlineStr"/>
      <c r="I27" s="49" t="inlineStr"/>
      <c r="J27" s="49" t="inlineStr"/>
      <c r="K27" s="49" t="inlineStr"/>
      <c r="L27" s="49" t="inlineStr"/>
      <c r="M27" s="49" t="inlineStr"/>
      <c r="N27" s="49" t="inlineStr"/>
      <c r="O27" s="49" t="inlineStr"/>
      <c r="P27" s="47">
        <f>IF(COUNT(D27:O27)=0,"",SUM(D27:O27))</f>
        <v/>
      </c>
      <c r="Q27" s="65">
        <f>IF(P27="","",P27/$P$4)</f>
        <v/>
      </c>
      <c r="R27" s="50">
        <f>IF(Q27="","",LOOKUP(ROUND(Q27,6),Notentabelle!$C$4:$C$19,Notentabelle!$A$4:$A$19))</f>
        <v/>
      </c>
      <c r="S27" s="22">
        <f>IF(R27="","",INDEX(Notentabelle!$B$4:$B$19,R27+1))</f>
        <v/>
      </c>
      <c r="T27" s="66" t="inlineStr"/>
    </row>
    <row r="28">
      <c r="A28" s="37" t="n">
        <v>21</v>
      </c>
      <c r="B28" s="31">
        <f>IF(INDEX(Klassenliste!$B$6:$B$40,21)=0,"",INDEX(Klassenliste!$B$6:$B$40,21))</f>
        <v/>
      </c>
      <c r="C28" s="31">
        <f>IF(INDEX(Klassenliste!$C$6:$C$40,21)=0,"",INDEX(Klassenliste!$C$6:$C$40,21))</f>
        <v/>
      </c>
      <c r="D28" s="49" t="inlineStr"/>
      <c r="E28" s="49" t="inlineStr"/>
      <c r="F28" s="49" t="inlineStr"/>
      <c r="G28" s="49" t="inlineStr"/>
      <c r="H28" s="49" t="inlineStr"/>
      <c r="I28" s="49" t="inlineStr"/>
      <c r="J28" s="49" t="inlineStr"/>
      <c r="K28" s="49" t="inlineStr"/>
      <c r="L28" s="49" t="inlineStr"/>
      <c r="M28" s="49" t="inlineStr"/>
      <c r="N28" s="49" t="inlineStr"/>
      <c r="O28" s="49" t="inlineStr"/>
      <c r="P28" s="47">
        <f>IF(COUNT(D28:O28)=0,"",SUM(D28:O28))</f>
        <v/>
      </c>
      <c r="Q28" s="65">
        <f>IF(P28="","",P28/$P$4)</f>
        <v/>
      </c>
      <c r="R28" s="50">
        <f>IF(Q28="","",LOOKUP(ROUND(Q28,6),Notentabelle!$C$4:$C$19,Notentabelle!$A$4:$A$19))</f>
        <v/>
      </c>
      <c r="S28" s="22">
        <f>IF(R28="","",INDEX(Notentabelle!$B$4:$B$19,R28+1))</f>
        <v/>
      </c>
      <c r="T28" s="66" t="inlineStr"/>
    </row>
    <row r="29">
      <c r="A29" s="37" t="n">
        <v>22</v>
      </c>
      <c r="B29" s="31">
        <f>IF(INDEX(Klassenliste!$B$6:$B$40,22)=0,"",INDEX(Klassenliste!$B$6:$B$40,22))</f>
        <v/>
      </c>
      <c r="C29" s="31">
        <f>IF(INDEX(Klassenliste!$C$6:$C$40,22)=0,"",INDEX(Klassenliste!$C$6:$C$40,22))</f>
        <v/>
      </c>
      <c r="D29" s="49" t="inlineStr"/>
      <c r="E29" s="49" t="inlineStr"/>
      <c r="F29" s="49" t="inlineStr"/>
      <c r="G29" s="49" t="inlineStr"/>
      <c r="H29" s="49" t="inlineStr"/>
      <c r="I29" s="49" t="inlineStr"/>
      <c r="J29" s="49" t="inlineStr"/>
      <c r="K29" s="49" t="inlineStr"/>
      <c r="L29" s="49" t="inlineStr"/>
      <c r="M29" s="49" t="inlineStr"/>
      <c r="N29" s="49" t="inlineStr"/>
      <c r="O29" s="49" t="inlineStr"/>
      <c r="P29" s="47">
        <f>IF(COUNT(D29:O29)=0,"",SUM(D29:O29))</f>
        <v/>
      </c>
      <c r="Q29" s="65">
        <f>IF(P29="","",P29/$P$4)</f>
        <v/>
      </c>
      <c r="R29" s="50">
        <f>IF(Q29="","",LOOKUP(ROUND(Q29,6),Notentabelle!$C$4:$C$19,Notentabelle!$A$4:$A$19))</f>
        <v/>
      </c>
      <c r="S29" s="22">
        <f>IF(R29="","",INDEX(Notentabelle!$B$4:$B$19,R29+1))</f>
        <v/>
      </c>
      <c r="T29" s="66" t="inlineStr"/>
    </row>
    <row r="30">
      <c r="A30" s="37" t="n">
        <v>23</v>
      </c>
      <c r="B30" s="31">
        <f>IF(INDEX(Klassenliste!$B$6:$B$40,23)=0,"",INDEX(Klassenliste!$B$6:$B$40,23))</f>
        <v/>
      </c>
      <c r="C30" s="31">
        <f>IF(INDEX(Klassenliste!$C$6:$C$40,23)=0,"",INDEX(Klassenliste!$C$6:$C$40,23))</f>
        <v/>
      </c>
      <c r="D30" s="49" t="inlineStr"/>
      <c r="E30" s="49" t="inlineStr"/>
      <c r="F30" s="49" t="inlineStr"/>
      <c r="G30" s="49" t="inlineStr"/>
      <c r="H30" s="49" t="inlineStr"/>
      <c r="I30" s="49" t="inlineStr"/>
      <c r="J30" s="49" t="inlineStr"/>
      <c r="K30" s="49" t="inlineStr"/>
      <c r="L30" s="49" t="inlineStr"/>
      <c r="M30" s="49" t="inlineStr"/>
      <c r="N30" s="49" t="inlineStr"/>
      <c r="O30" s="49" t="inlineStr"/>
      <c r="P30" s="47">
        <f>IF(COUNT(D30:O30)=0,"",SUM(D30:O30))</f>
        <v/>
      </c>
      <c r="Q30" s="65">
        <f>IF(P30="","",P30/$P$4)</f>
        <v/>
      </c>
      <c r="R30" s="50">
        <f>IF(Q30="","",LOOKUP(ROUND(Q30,6),Notentabelle!$C$4:$C$19,Notentabelle!$A$4:$A$19))</f>
        <v/>
      </c>
      <c r="S30" s="22">
        <f>IF(R30="","",INDEX(Notentabelle!$B$4:$B$19,R30+1))</f>
        <v/>
      </c>
      <c r="T30" s="66" t="inlineStr"/>
    </row>
    <row r="31">
      <c r="A31" s="37" t="n">
        <v>24</v>
      </c>
      <c r="B31" s="31">
        <f>IF(INDEX(Klassenliste!$B$6:$B$40,24)=0,"",INDEX(Klassenliste!$B$6:$B$40,24))</f>
        <v/>
      </c>
      <c r="C31" s="31">
        <f>IF(INDEX(Klassenliste!$C$6:$C$40,24)=0,"",INDEX(Klassenliste!$C$6:$C$40,24))</f>
        <v/>
      </c>
      <c r="D31" s="49" t="inlineStr"/>
      <c r="E31" s="49" t="inlineStr"/>
      <c r="F31" s="49" t="inlineStr"/>
      <c r="G31" s="49" t="inlineStr"/>
      <c r="H31" s="49" t="inlineStr"/>
      <c r="I31" s="49" t="inlineStr"/>
      <c r="J31" s="49" t="inlineStr"/>
      <c r="K31" s="49" t="inlineStr"/>
      <c r="L31" s="49" t="inlineStr"/>
      <c r="M31" s="49" t="inlineStr"/>
      <c r="N31" s="49" t="inlineStr"/>
      <c r="O31" s="49" t="inlineStr"/>
      <c r="P31" s="47">
        <f>IF(COUNT(D31:O31)=0,"",SUM(D31:O31))</f>
        <v/>
      </c>
      <c r="Q31" s="65">
        <f>IF(P31="","",P31/$P$4)</f>
        <v/>
      </c>
      <c r="R31" s="50">
        <f>IF(Q31="","",LOOKUP(ROUND(Q31,6),Notentabelle!$C$4:$C$19,Notentabelle!$A$4:$A$19))</f>
        <v/>
      </c>
      <c r="S31" s="22">
        <f>IF(R31="","",INDEX(Notentabelle!$B$4:$B$19,R31+1))</f>
        <v/>
      </c>
      <c r="T31" s="66" t="inlineStr"/>
    </row>
    <row r="32">
      <c r="A32" s="37" t="n">
        <v>25</v>
      </c>
      <c r="B32" s="31">
        <f>IF(INDEX(Klassenliste!$B$6:$B$40,25)=0,"",INDEX(Klassenliste!$B$6:$B$40,25))</f>
        <v/>
      </c>
      <c r="C32" s="31">
        <f>IF(INDEX(Klassenliste!$C$6:$C$40,25)=0,"",INDEX(Klassenliste!$C$6:$C$40,25))</f>
        <v/>
      </c>
      <c r="D32" s="49" t="inlineStr"/>
      <c r="E32" s="49" t="inlineStr"/>
      <c r="F32" s="49" t="inlineStr"/>
      <c r="G32" s="49" t="inlineStr"/>
      <c r="H32" s="49" t="inlineStr"/>
      <c r="I32" s="49" t="inlineStr"/>
      <c r="J32" s="49" t="inlineStr"/>
      <c r="K32" s="49" t="inlineStr"/>
      <c r="L32" s="49" t="inlineStr"/>
      <c r="M32" s="49" t="inlineStr"/>
      <c r="N32" s="49" t="inlineStr"/>
      <c r="O32" s="49" t="inlineStr"/>
      <c r="P32" s="47">
        <f>IF(COUNT(D32:O32)=0,"",SUM(D32:O32))</f>
        <v/>
      </c>
      <c r="Q32" s="65">
        <f>IF(P32="","",P32/$P$4)</f>
        <v/>
      </c>
      <c r="R32" s="50">
        <f>IF(Q32="","",LOOKUP(ROUND(Q32,6),Notentabelle!$C$4:$C$19,Notentabelle!$A$4:$A$19))</f>
        <v/>
      </c>
      <c r="S32" s="22">
        <f>IF(R32="","",INDEX(Notentabelle!$B$4:$B$19,R32+1))</f>
        <v/>
      </c>
      <c r="T32" s="66" t="inlineStr"/>
    </row>
    <row r="33">
      <c r="A33" s="37" t="n">
        <v>26</v>
      </c>
      <c r="B33" s="31">
        <f>IF(INDEX(Klassenliste!$B$6:$B$40,26)=0,"",INDEX(Klassenliste!$B$6:$B$40,26))</f>
        <v/>
      </c>
      <c r="C33" s="31">
        <f>IF(INDEX(Klassenliste!$C$6:$C$40,26)=0,"",INDEX(Klassenliste!$C$6:$C$40,26))</f>
        <v/>
      </c>
      <c r="D33" s="49" t="inlineStr"/>
      <c r="E33" s="49" t="inlineStr"/>
      <c r="F33" s="49" t="inlineStr"/>
      <c r="G33" s="49" t="inlineStr"/>
      <c r="H33" s="49" t="inlineStr"/>
      <c r="I33" s="49" t="inlineStr"/>
      <c r="J33" s="49" t="inlineStr"/>
      <c r="K33" s="49" t="inlineStr"/>
      <c r="L33" s="49" t="inlineStr"/>
      <c r="M33" s="49" t="inlineStr"/>
      <c r="N33" s="49" t="inlineStr"/>
      <c r="O33" s="49" t="inlineStr"/>
      <c r="P33" s="47">
        <f>IF(COUNT(D33:O33)=0,"",SUM(D33:O33))</f>
        <v/>
      </c>
      <c r="Q33" s="65">
        <f>IF(P33="","",P33/$P$4)</f>
        <v/>
      </c>
      <c r="R33" s="50">
        <f>IF(Q33="","",LOOKUP(ROUND(Q33,6),Notentabelle!$C$4:$C$19,Notentabelle!$A$4:$A$19))</f>
        <v/>
      </c>
      <c r="S33" s="22">
        <f>IF(R33="","",INDEX(Notentabelle!$B$4:$B$19,R33+1))</f>
        <v/>
      </c>
      <c r="T33" s="66" t="inlineStr"/>
    </row>
    <row r="34">
      <c r="A34" s="37" t="n">
        <v>27</v>
      </c>
      <c r="B34" s="31">
        <f>IF(INDEX(Klassenliste!$B$6:$B$40,27)=0,"",INDEX(Klassenliste!$B$6:$B$40,27))</f>
        <v/>
      </c>
      <c r="C34" s="31">
        <f>IF(INDEX(Klassenliste!$C$6:$C$40,27)=0,"",INDEX(Klassenliste!$C$6:$C$40,27))</f>
        <v/>
      </c>
      <c r="D34" s="49" t="inlineStr"/>
      <c r="E34" s="49" t="inlineStr"/>
      <c r="F34" s="49" t="inlineStr"/>
      <c r="G34" s="49" t="inlineStr"/>
      <c r="H34" s="49" t="inlineStr"/>
      <c r="I34" s="49" t="inlineStr"/>
      <c r="J34" s="49" t="inlineStr"/>
      <c r="K34" s="49" t="inlineStr"/>
      <c r="L34" s="49" t="inlineStr"/>
      <c r="M34" s="49" t="inlineStr"/>
      <c r="N34" s="49" t="inlineStr"/>
      <c r="O34" s="49" t="inlineStr"/>
      <c r="P34" s="47">
        <f>IF(COUNT(D34:O34)=0,"",SUM(D34:O34))</f>
        <v/>
      </c>
      <c r="Q34" s="65">
        <f>IF(P34="","",P34/$P$4)</f>
        <v/>
      </c>
      <c r="R34" s="50">
        <f>IF(Q34="","",LOOKUP(ROUND(Q34,6),Notentabelle!$C$4:$C$19,Notentabelle!$A$4:$A$19))</f>
        <v/>
      </c>
      <c r="S34" s="22">
        <f>IF(R34="","",INDEX(Notentabelle!$B$4:$B$19,R34+1))</f>
        <v/>
      </c>
      <c r="T34" s="66" t="inlineStr"/>
    </row>
    <row r="35">
      <c r="A35" s="37" t="n">
        <v>28</v>
      </c>
      <c r="B35" s="31">
        <f>IF(INDEX(Klassenliste!$B$6:$B$40,28)=0,"",INDEX(Klassenliste!$B$6:$B$40,28))</f>
        <v/>
      </c>
      <c r="C35" s="31">
        <f>IF(INDEX(Klassenliste!$C$6:$C$40,28)=0,"",INDEX(Klassenliste!$C$6:$C$40,28))</f>
        <v/>
      </c>
      <c r="D35" s="49" t="inlineStr"/>
      <c r="E35" s="49" t="inlineStr"/>
      <c r="F35" s="49" t="inlineStr"/>
      <c r="G35" s="49" t="inlineStr"/>
      <c r="H35" s="49" t="inlineStr"/>
      <c r="I35" s="49" t="inlineStr"/>
      <c r="J35" s="49" t="inlineStr"/>
      <c r="K35" s="49" t="inlineStr"/>
      <c r="L35" s="49" t="inlineStr"/>
      <c r="M35" s="49" t="inlineStr"/>
      <c r="N35" s="49" t="inlineStr"/>
      <c r="O35" s="49" t="inlineStr"/>
      <c r="P35" s="47">
        <f>IF(COUNT(D35:O35)=0,"",SUM(D35:O35))</f>
        <v/>
      </c>
      <c r="Q35" s="65">
        <f>IF(P35="","",P35/$P$4)</f>
        <v/>
      </c>
      <c r="R35" s="50">
        <f>IF(Q35="","",LOOKUP(ROUND(Q35,6),Notentabelle!$C$4:$C$19,Notentabelle!$A$4:$A$19))</f>
        <v/>
      </c>
      <c r="S35" s="22">
        <f>IF(R35="","",INDEX(Notentabelle!$B$4:$B$19,R35+1))</f>
        <v/>
      </c>
      <c r="T35" s="66" t="inlineStr"/>
    </row>
    <row r="36">
      <c r="A36" s="37" t="n">
        <v>29</v>
      </c>
      <c r="B36" s="31">
        <f>IF(INDEX(Klassenliste!$B$6:$B$40,29)=0,"",INDEX(Klassenliste!$B$6:$B$40,29))</f>
        <v/>
      </c>
      <c r="C36" s="31">
        <f>IF(INDEX(Klassenliste!$C$6:$C$40,29)=0,"",INDEX(Klassenliste!$C$6:$C$40,29))</f>
        <v/>
      </c>
      <c r="D36" s="49" t="inlineStr"/>
      <c r="E36" s="49" t="inlineStr"/>
      <c r="F36" s="49" t="inlineStr"/>
      <c r="G36" s="49" t="inlineStr"/>
      <c r="H36" s="49" t="inlineStr"/>
      <c r="I36" s="49" t="inlineStr"/>
      <c r="J36" s="49" t="inlineStr"/>
      <c r="K36" s="49" t="inlineStr"/>
      <c r="L36" s="49" t="inlineStr"/>
      <c r="M36" s="49" t="inlineStr"/>
      <c r="N36" s="49" t="inlineStr"/>
      <c r="O36" s="49" t="inlineStr"/>
      <c r="P36" s="47">
        <f>IF(COUNT(D36:O36)=0,"",SUM(D36:O36))</f>
        <v/>
      </c>
      <c r="Q36" s="65">
        <f>IF(P36="","",P36/$P$4)</f>
        <v/>
      </c>
      <c r="R36" s="50">
        <f>IF(Q36="","",LOOKUP(ROUND(Q36,6),Notentabelle!$C$4:$C$19,Notentabelle!$A$4:$A$19))</f>
        <v/>
      </c>
      <c r="S36" s="22">
        <f>IF(R36="","",INDEX(Notentabelle!$B$4:$B$19,R36+1))</f>
        <v/>
      </c>
      <c r="T36" s="66" t="inlineStr"/>
    </row>
    <row r="37">
      <c r="A37" s="37" t="n">
        <v>30</v>
      </c>
      <c r="B37" s="31">
        <f>IF(INDEX(Klassenliste!$B$6:$B$40,30)=0,"",INDEX(Klassenliste!$B$6:$B$40,30))</f>
        <v/>
      </c>
      <c r="C37" s="31">
        <f>IF(INDEX(Klassenliste!$C$6:$C$40,30)=0,"",INDEX(Klassenliste!$C$6:$C$40,30))</f>
        <v/>
      </c>
      <c r="D37" s="49" t="inlineStr"/>
      <c r="E37" s="49" t="inlineStr"/>
      <c r="F37" s="49" t="inlineStr"/>
      <c r="G37" s="49" t="inlineStr"/>
      <c r="H37" s="49" t="inlineStr"/>
      <c r="I37" s="49" t="inlineStr"/>
      <c r="J37" s="49" t="inlineStr"/>
      <c r="K37" s="49" t="inlineStr"/>
      <c r="L37" s="49" t="inlineStr"/>
      <c r="M37" s="49" t="inlineStr"/>
      <c r="N37" s="49" t="inlineStr"/>
      <c r="O37" s="49" t="inlineStr"/>
      <c r="P37" s="47">
        <f>IF(COUNT(D37:O37)=0,"",SUM(D37:O37))</f>
        <v/>
      </c>
      <c r="Q37" s="65">
        <f>IF(P37="","",P37/$P$4)</f>
        <v/>
      </c>
      <c r="R37" s="50">
        <f>IF(Q37="","",LOOKUP(ROUND(Q37,6),Notentabelle!$C$4:$C$19,Notentabelle!$A$4:$A$19))</f>
        <v/>
      </c>
      <c r="S37" s="22">
        <f>IF(R37="","",INDEX(Notentabelle!$B$4:$B$19,R37+1))</f>
        <v/>
      </c>
      <c r="T37" s="66" t="inlineStr"/>
    </row>
    <row r="38">
      <c r="A38" s="37" t="n">
        <v>31</v>
      </c>
      <c r="B38" s="31">
        <f>IF(INDEX(Klassenliste!$B$6:$B$40,31)=0,"",INDEX(Klassenliste!$B$6:$B$40,31))</f>
        <v/>
      </c>
      <c r="C38" s="31">
        <f>IF(INDEX(Klassenliste!$C$6:$C$40,31)=0,"",INDEX(Klassenliste!$C$6:$C$40,31))</f>
        <v/>
      </c>
      <c r="D38" s="49" t="inlineStr"/>
      <c r="E38" s="49" t="inlineStr"/>
      <c r="F38" s="49" t="inlineStr"/>
      <c r="G38" s="49" t="inlineStr"/>
      <c r="H38" s="49" t="inlineStr"/>
      <c r="I38" s="49" t="inlineStr"/>
      <c r="J38" s="49" t="inlineStr"/>
      <c r="K38" s="49" t="inlineStr"/>
      <c r="L38" s="49" t="inlineStr"/>
      <c r="M38" s="49" t="inlineStr"/>
      <c r="N38" s="49" t="inlineStr"/>
      <c r="O38" s="49" t="inlineStr"/>
      <c r="P38" s="47">
        <f>IF(COUNT(D38:O38)=0,"",SUM(D38:O38))</f>
        <v/>
      </c>
      <c r="Q38" s="65">
        <f>IF(P38="","",P38/$P$4)</f>
        <v/>
      </c>
      <c r="R38" s="50">
        <f>IF(Q38="","",LOOKUP(ROUND(Q38,6),Notentabelle!$C$4:$C$19,Notentabelle!$A$4:$A$19))</f>
        <v/>
      </c>
      <c r="S38" s="22">
        <f>IF(R38="","",INDEX(Notentabelle!$B$4:$B$19,R38+1))</f>
        <v/>
      </c>
      <c r="T38" s="66" t="inlineStr"/>
    </row>
    <row r="39">
      <c r="A39" s="37" t="n">
        <v>32</v>
      </c>
      <c r="B39" s="31">
        <f>IF(INDEX(Klassenliste!$B$6:$B$40,32)=0,"",INDEX(Klassenliste!$B$6:$B$40,32))</f>
        <v/>
      </c>
      <c r="C39" s="31">
        <f>IF(INDEX(Klassenliste!$C$6:$C$40,32)=0,"",INDEX(Klassenliste!$C$6:$C$40,32))</f>
        <v/>
      </c>
      <c r="D39" s="49" t="inlineStr"/>
      <c r="E39" s="49" t="inlineStr"/>
      <c r="F39" s="49" t="inlineStr"/>
      <c r="G39" s="49" t="inlineStr"/>
      <c r="H39" s="49" t="inlineStr"/>
      <c r="I39" s="49" t="inlineStr"/>
      <c r="J39" s="49" t="inlineStr"/>
      <c r="K39" s="49" t="inlineStr"/>
      <c r="L39" s="49" t="inlineStr"/>
      <c r="M39" s="49" t="inlineStr"/>
      <c r="N39" s="49" t="inlineStr"/>
      <c r="O39" s="49" t="inlineStr"/>
      <c r="P39" s="47">
        <f>IF(COUNT(D39:O39)=0,"",SUM(D39:O39))</f>
        <v/>
      </c>
      <c r="Q39" s="65">
        <f>IF(P39="","",P39/$P$4)</f>
        <v/>
      </c>
      <c r="R39" s="50">
        <f>IF(Q39="","",LOOKUP(ROUND(Q39,6),Notentabelle!$C$4:$C$19,Notentabelle!$A$4:$A$19))</f>
        <v/>
      </c>
      <c r="S39" s="22">
        <f>IF(R39="","",INDEX(Notentabelle!$B$4:$B$19,R39+1))</f>
        <v/>
      </c>
      <c r="T39" s="66" t="inlineStr"/>
    </row>
    <row r="40">
      <c r="A40" s="37" t="n">
        <v>33</v>
      </c>
      <c r="B40" s="31">
        <f>IF(INDEX(Klassenliste!$B$6:$B$40,33)=0,"",INDEX(Klassenliste!$B$6:$B$40,33))</f>
        <v/>
      </c>
      <c r="C40" s="31">
        <f>IF(INDEX(Klassenliste!$C$6:$C$40,33)=0,"",INDEX(Klassenliste!$C$6:$C$40,33))</f>
        <v/>
      </c>
      <c r="D40" s="49" t="inlineStr"/>
      <c r="E40" s="49" t="inlineStr"/>
      <c r="F40" s="49" t="inlineStr"/>
      <c r="G40" s="49" t="inlineStr"/>
      <c r="H40" s="49" t="inlineStr"/>
      <c r="I40" s="49" t="inlineStr"/>
      <c r="J40" s="49" t="inlineStr"/>
      <c r="K40" s="49" t="inlineStr"/>
      <c r="L40" s="49" t="inlineStr"/>
      <c r="M40" s="49" t="inlineStr"/>
      <c r="N40" s="49" t="inlineStr"/>
      <c r="O40" s="49" t="inlineStr"/>
      <c r="P40" s="47">
        <f>IF(COUNT(D40:O40)=0,"",SUM(D40:O40))</f>
        <v/>
      </c>
      <c r="Q40" s="65">
        <f>IF(P40="","",P40/$P$4)</f>
        <v/>
      </c>
      <c r="R40" s="50">
        <f>IF(Q40="","",LOOKUP(ROUND(Q40,6),Notentabelle!$C$4:$C$19,Notentabelle!$A$4:$A$19))</f>
        <v/>
      </c>
      <c r="S40" s="22">
        <f>IF(R40="","",INDEX(Notentabelle!$B$4:$B$19,R40+1))</f>
        <v/>
      </c>
      <c r="T40" s="66" t="inlineStr"/>
    </row>
    <row r="41">
      <c r="A41" s="37" t="n">
        <v>34</v>
      </c>
      <c r="B41" s="31">
        <f>IF(INDEX(Klassenliste!$B$6:$B$40,34)=0,"",INDEX(Klassenliste!$B$6:$B$40,34))</f>
        <v/>
      </c>
      <c r="C41" s="31">
        <f>IF(INDEX(Klassenliste!$C$6:$C$40,34)=0,"",INDEX(Klassenliste!$C$6:$C$40,34))</f>
        <v/>
      </c>
      <c r="D41" s="49" t="inlineStr"/>
      <c r="E41" s="49" t="inlineStr"/>
      <c r="F41" s="49" t="inlineStr"/>
      <c r="G41" s="49" t="inlineStr"/>
      <c r="H41" s="49" t="inlineStr"/>
      <c r="I41" s="49" t="inlineStr"/>
      <c r="J41" s="49" t="inlineStr"/>
      <c r="K41" s="49" t="inlineStr"/>
      <c r="L41" s="49" t="inlineStr"/>
      <c r="M41" s="49" t="inlineStr"/>
      <c r="N41" s="49" t="inlineStr"/>
      <c r="O41" s="49" t="inlineStr"/>
      <c r="P41" s="47">
        <f>IF(COUNT(D41:O41)=0,"",SUM(D41:O41))</f>
        <v/>
      </c>
      <c r="Q41" s="65">
        <f>IF(P41="","",P41/$P$4)</f>
        <v/>
      </c>
      <c r="R41" s="50">
        <f>IF(Q41="","",LOOKUP(ROUND(Q41,6),Notentabelle!$C$4:$C$19,Notentabelle!$A$4:$A$19))</f>
        <v/>
      </c>
      <c r="S41" s="22">
        <f>IF(R41="","",INDEX(Notentabelle!$B$4:$B$19,R41+1))</f>
        <v/>
      </c>
      <c r="T41" s="66" t="inlineStr"/>
    </row>
    <row r="42">
      <c r="A42" s="37" t="n">
        <v>35</v>
      </c>
      <c r="B42" s="31">
        <f>IF(INDEX(Klassenliste!$B$6:$B$40,35)=0,"",INDEX(Klassenliste!$B$6:$B$40,35))</f>
        <v/>
      </c>
      <c r="C42" s="31">
        <f>IF(INDEX(Klassenliste!$C$6:$C$40,35)=0,"",INDEX(Klassenliste!$C$6:$C$40,35))</f>
        <v/>
      </c>
      <c r="D42" s="49" t="inlineStr"/>
      <c r="E42" s="49" t="inlineStr"/>
      <c r="F42" s="49" t="inlineStr"/>
      <c r="G42" s="49" t="inlineStr"/>
      <c r="H42" s="49" t="inlineStr"/>
      <c r="I42" s="49" t="inlineStr"/>
      <c r="J42" s="49" t="inlineStr"/>
      <c r="K42" s="49" t="inlineStr"/>
      <c r="L42" s="49" t="inlineStr"/>
      <c r="M42" s="49" t="inlineStr"/>
      <c r="N42" s="49" t="inlineStr"/>
      <c r="O42" s="49" t="inlineStr"/>
      <c r="P42" s="47">
        <f>IF(COUNT(D42:O42)=0,"",SUM(D42:O42))</f>
        <v/>
      </c>
      <c r="Q42" s="65">
        <f>IF(P42="","",P42/$P$4)</f>
        <v/>
      </c>
      <c r="R42" s="50">
        <f>IF(Q42="","",LOOKUP(ROUND(Q42,6),Notentabelle!$C$4:$C$19,Notentabelle!$A$4:$A$19))</f>
        <v/>
      </c>
      <c r="S42" s="22">
        <f>IF(R42="","",INDEX(Notentabelle!$B$4:$B$19,R42+1))</f>
        <v/>
      </c>
      <c r="T42" s="66" t="inlineStr"/>
    </row>
    <row r="45">
      <c r="B45" s="53" t="inlineStr">
        <is>
          <t>Notenspiegel</t>
        </is>
      </c>
      <c r="D45" s="17" t="n">
        <v>15</v>
      </c>
      <c r="E45" s="17" t="n">
        <v>14</v>
      </c>
      <c r="F45" s="17" t="n">
        <v>13</v>
      </c>
      <c r="G45" s="17" t="n">
        <v>12</v>
      </c>
      <c r="H45" s="17" t="n">
        <v>11</v>
      </c>
      <c r="I45" s="17" t="n">
        <v>10</v>
      </c>
      <c r="J45" s="17" t="n">
        <v>9</v>
      </c>
      <c r="K45" s="17" t="n">
        <v>8</v>
      </c>
      <c r="L45" s="17" t="n">
        <v>7</v>
      </c>
      <c r="M45" s="17" t="n">
        <v>6</v>
      </c>
      <c r="N45" s="17" t="n">
        <v>5</v>
      </c>
      <c r="O45" s="17" t="n">
        <v>4</v>
      </c>
      <c r="P45" s="17" t="n">
        <v>3</v>
      </c>
      <c r="Q45" s="17" t="n">
        <v>2</v>
      </c>
      <c r="R45" s="17" t="n">
        <v>1</v>
      </c>
      <c r="S45" s="17" t="n">
        <v>0</v>
      </c>
    </row>
    <row r="46">
      <c r="D46" s="19">
        <f>COUNTIF($R$8:$R$42,15)</f>
        <v/>
      </c>
      <c r="E46" s="19">
        <f>COUNTIF($R$8:$R$42,14)</f>
        <v/>
      </c>
      <c r="F46" s="19">
        <f>COUNTIF($R$8:$R$42,13)</f>
        <v/>
      </c>
      <c r="G46" s="19">
        <f>COUNTIF($R$8:$R$42,12)</f>
        <v/>
      </c>
      <c r="H46" s="19">
        <f>COUNTIF($R$8:$R$42,11)</f>
        <v/>
      </c>
      <c r="I46" s="19">
        <f>COUNTIF($R$8:$R$42,10)</f>
        <v/>
      </c>
      <c r="J46" s="19">
        <f>COUNTIF($R$8:$R$42,9)</f>
        <v/>
      </c>
      <c r="K46" s="19">
        <f>COUNTIF($R$8:$R$42,8)</f>
        <v/>
      </c>
      <c r="L46" s="19">
        <f>COUNTIF($R$8:$R$42,7)</f>
        <v/>
      </c>
      <c r="M46" s="19">
        <f>COUNTIF($R$8:$R$42,6)</f>
        <v/>
      </c>
      <c r="N46" s="19">
        <f>COUNTIF($R$8:$R$42,5)</f>
        <v/>
      </c>
      <c r="O46" s="19">
        <f>COUNTIF($R$8:$R$42,4)</f>
        <v/>
      </c>
      <c r="P46" s="19">
        <f>COUNTIF($R$8:$R$42,3)</f>
        <v/>
      </c>
      <c r="Q46" s="19">
        <f>COUNTIF($R$8:$R$42,2)</f>
        <v/>
      </c>
      <c r="R46" s="19">
        <f>COUNTIF($R$8:$R$42,1)</f>
        <v/>
      </c>
      <c r="S46" s="19">
        <f>COUNTIF($R$8:$R$42,0)</f>
        <v/>
      </c>
    </row>
    <row r="47">
      <c r="D47" s="53" t="inlineStr">
        <is>
          <t>Defizite (unter 5 P):</t>
        </is>
      </c>
      <c r="G47" s="19">
        <f>COUNTIF($R$8:$R$42,"&lt;5")</f>
        <v/>
      </c>
      <c r="I47" s="53" t="inlineStr">
        <is>
          <t>Ø Punkte:</t>
        </is>
      </c>
      <c r="K47" s="67">
        <f>IFERROR(ROUND(AVERAGE(R8:R42),1),"")</f>
        <v/>
      </c>
    </row>
    <row r="48">
      <c r="B48" s="53" t="inlineStr">
        <is>
          <t>nach Noten</t>
        </is>
      </c>
      <c r="D48" s="17" t="inlineStr">
        <is>
          <t>Note 1</t>
        </is>
      </c>
      <c r="E48" s="17" t="inlineStr">
        <is>
          <t>Note 2</t>
        </is>
      </c>
      <c r="F48" s="17" t="inlineStr">
        <is>
          <t>Note 3</t>
        </is>
      </c>
      <c r="G48" s="17" t="inlineStr">
        <is>
          <t>Note 4</t>
        </is>
      </c>
      <c r="H48" s="17" t="inlineStr">
        <is>
          <t>Note 5</t>
        </is>
      </c>
      <c r="I48" s="17" t="inlineStr">
        <is>
          <t>Note 6</t>
        </is>
      </c>
    </row>
    <row r="49">
      <c r="D49" s="19">
        <f>COUNTIF($R$8:$R$42,"&gt;=13")</f>
        <v/>
      </c>
      <c r="E49" s="19">
        <f>COUNTIFS($R$8:$R$42,"&gt;=10",$R$8:$R$42,"&lt;=12")</f>
        <v/>
      </c>
      <c r="F49" s="19">
        <f>COUNTIFS($R$8:$R$42,"&gt;=7",$R$8:$R$42,"&lt;=9")</f>
        <v/>
      </c>
      <c r="G49" s="19">
        <f>COUNTIFS($R$8:$R$42,"&gt;=4",$R$8:$R$42,"&lt;=6")</f>
        <v/>
      </c>
      <c r="H49" s="19">
        <f>COUNTIFS($R$8:$R$42,"&gt;=1",$R$8:$R$42,"&lt;=3")</f>
        <v/>
      </c>
      <c r="I49" s="19">
        <f>COUNTIF($R$8:$R$42,0)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L2:S2"/>
    <mergeCell ref="C2:G2"/>
    <mergeCell ref="J2:K2"/>
    <mergeCell ref="A1:R1"/>
  </mergeCells>
  <conditionalFormatting sqref="D46:S46">
    <cfRule type="dataBar" priority="1">
      <dataBar showValue="1">
        <cfvo type="num" val="0"/>
        <cfvo type="max"/>
        <color rgb="0035596E"/>
      </dataBar>
    </cfRule>
  </conditionalFormatting>
  <conditionalFormatting sqref="D49:I49">
    <cfRule type="dataBar" priority="2">
      <dataBar showValue="1">
        <cfvo type="num" val="0"/>
        <cfvo type="max"/>
        <color rgb="0035596E"/>
      </dataBar>
    </cfRule>
  </conditionalFormatting>
  <conditionalFormatting sqref="A8:S42">
    <cfRule type="expression" priority="3" dxfId="1" stopIfTrue="1">
      <formula>$B8=""</formula>
    </cfRule>
  </conditionalFormatting>
  <conditionalFormatting sqref="D8:O42">
    <cfRule type="expression" priority="4" dxfId="5">
      <formula>AND(D8&lt;&gt;"",OR(NOT(ISNUMBER(D8)),D8&lt;0,D$4="",AND(ISNUMBER(D$4),D8&gt;D$4)))</formula>
    </cfRule>
    <cfRule type="expression" priority="8" dxfId="6">
      <formula>D$4=""</formula>
    </cfRule>
  </conditionalFormatting>
  <conditionalFormatting sqref="D4:O4">
    <cfRule type="expression" priority="5" dxfId="5">
      <formula>AND(D4&lt;&gt;"",NOT(ISNUMBER(D4)))</formula>
    </cfRule>
  </conditionalFormatting>
  <conditionalFormatting sqref="Q8:Q42">
    <cfRule type="expression" priority="6" dxfId="5">
      <formula>AND(ISNUMBER(Q8),OR(Q8&gt;1,Q8&lt;0))</formula>
    </cfRule>
  </conditionalFormatting>
  <conditionalFormatting sqref="R8:R42">
    <cfRule type="expression" priority="7" dxfId="2">
      <formula>AND(ISNUMBER(R8),R8&lt;5)</formula>
    </cfRule>
  </conditionalFormatting>
  <conditionalFormatting sqref="D3:O3">
    <cfRule type="expression" priority="9" dxfId="6">
      <formula>D$4=""</formula>
    </cfRule>
  </conditionalFormatting>
  <dataValidations count="2">
    <dataValidation sqref="D4:O4" showDropDown="0" showInputMessage="0" showErrorMessage="1" allowBlank="1" errorTitle="Ungültige Maximalpunkte" error="Bitte eine Zahl zwischen 0 und 999 eintragen." type="decimal" operator="between">
      <formula1>0</formula1>
      <formula2>999</formula2>
    </dataValidation>
    <dataValidation sqref="D8:O42" showDropDown="0" showInputMessage="0" showErrorMessage="1" allowBlank="1" errorTitle="Ungültige Punktzahl" error="Nur Zahlen von 0 bis zur Maximalpunktzahl dieser Aufgabe." type="custom">
      <formula1>AND(ISNUMBER(D8),D8&gt;=0,D8&lt;=D$4)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16.xml><?xml version="1.0" encoding="utf-8"?>
<worksheet xmlns="http://schemas.openxmlformats.org/spreadsheetml/2006/main">
  <sheetPr>
    <tabColor rgb="00D8DDE0"/>
    <outlinePr summaryBelow="1" summaryRight="1"/>
    <pageSetUpPr fitToPage="1"/>
  </sheetPr>
  <dimension ref="A1:T49"/>
  <sheetViews>
    <sheetView showGridLines="0" zoomScale="10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7"/>
  <cols>
    <col width="4" customWidth="1" min="1" max="1"/>
    <col width="15" customWidth="1" min="2" max="2"/>
    <col width="13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7" customWidth="1" min="16" max="16"/>
    <col width="8" customWidth="1" min="17" max="17"/>
    <col width="8" customWidth="1" min="18" max="18"/>
    <col width="12" customWidth="1" min="19" max="19"/>
    <col width="48" customWidth="1" min="20" max="20"/>
  </cols>
  <sheetData>
    <row r="1" ht="26" customHeight="1">
      <c r="A1" s="1" t="inlineStr">
        <is>
          <t>Klausur 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8">
        <f>HYPERLINK("#Start!A1","⌂")</f>
        <v/>
      </c>
    </row>
    <row r="2">
      <c r="B2" s="53" t="inlineStr">
        <is>
          <t>Thema:</t>
        </is>
      </c>
      <c r="C2" s="11" t="inlineStr"/>
      <c r="D2" s="54" t="n"/>
      <c r="E2" s="54" t="n"/>
      <c r="F2" s="54" t="n"/>
      <c r="G2" s="54" t="n"/>
      <c r="I2" s="53" t="inlineStr">
        <is>
          <t>Datum:</t>
        </is>
      </c>
      <c r="J2" s="24" t="inlineStr"/>
      <c r="K2" s="55" t="n"/>
      <c r="L2" s="12">
        <f>Klassenliste!$E$2&amp;"  ·  "&amp;Klassenliste!$J$2&amp;"  ·  "&amp;Klassenliste!$H$2&amp;""</f>
        <v/>
      </c>
    </row>
    <row r="3">
      <c r="C3" s="18" t="inlineStr">
        <is>
          <t>Aufgabe</t>
        </is>
      </c>
      <c r="D3" s="56" t="inlineStr">
        <is>
          <t>A1</t>
        </is>
      </c>
      <c r="E3" s="56" t="inlineStr">
        <is>
          <t>A2</t>
        </is>
      </c>
      <c r="F3" s="56" t="inlineStr">
        <is>
          <t>A3</t>
        </is>
      </c>
      <c r="G3" s="56" t="inlineStr">
        <is>
          <t>A4</t>
        </is>
      </c>
      <c r="H3" s="56" t="inlineStr">
        <is>
          <t>A5</t>
        </is>
      </c>
      <c r="I3" s="56" t="inlineStr">
        <is>
          <t>A6</t>
        </is>
      </c>
      <c r="J3" s="56" t="inlineStr">
        <is>
          <t>A7</t>
        </is>
      </c>
      <c r="K3" s="56" t="inlineStr">
        <is>
          <t>A8</t>
        </is>
      </c>
      <c r="L3" s="56" t="inlineStr">
        <is>
          <t>A9</t>
        </is>
      </c>
      <c r="M3" s="56" t="inlineStr">
        <is>
          <t>A10</t>
        </is>
      </c>
      <c r="N3" s="56" t="inlineStr">
        <is>
          <t>A11</t>
        </is>
      </c>
      <c r="O3" s="56" t="inlineStr">
        <is>
          <t>A12</t>
        </is>
      </c>
      <c r="P3" s="45" t="inlineStr">
        <is>
          <t>Ges.</t>
        </is>
      </c>
    </row>
    <row r="4">
      <c r="C4" s="18" t="inlineStr">
        <is>
          <t>max. Punkte</t>
        </is>
      </c>
      <c r="D4" s="57" t="inlineStr"/>
      <c r="E4" s="57" t="inlineStr"/>
      <c r="F4" s="57" t="inlineStr"/>
      <c r="G4" s="57" t="inlineStr"/>
      <c r="H4" s="57" t="inlineStr"/>
      <c r="I4" s="57" t="inlineStr"/>
      <c r="J4" s="57" t="inlineStr"/>
      <c r="K4" s="57" t="inlineStr"/>
      <c r="L4" s="57" t="inlineStr"/>
      <c r="M4" s="57" t="inlineStr"/>
      <c r="N4" s="57" t="inlineStr"/>
      <c r="O4" s="57" t="inlineStr"/>
      <c r="P4" s="58">
        <f>IF(COUNT(D4:O4)=0,"",SUM(D4:O4))</f>
        <v/>
      </c>
    </row>
    <row r="5">
      <c r="C5" s="18" t="inlineStr">
        <is>
          <t>Schnitt</t>
        </is>
      </c>
      <c r="D5" s="59">
        <f>IF(D$4="","",IFERROR(ROUND(AVERAGE(D8:D42),2),""))</f>
        <v/>
      </c>
      <c r="E5" s="59">
        <f>IF(E$4="","",IFERROR(ROUND(AVERAGE(E8:E42),2),""))</f>
        <v/>
      </c>
      <c r="F5" s="59">
        <f>IF(F$4="","",IFERROR(ROUND(AVERAGE(F8:F42),2),""))</f>
        <v/>
      </c>
      <c r="G5" s="59">
        <f>IF(G$4="","",IFERROR(ROUND(AVERAGE(G8:G42),2),""))</f>
        <v/>
      </c>
      <c r="H5" s="59">
        <f>IF(H$4="","",IFERROR(ROUND(AVERAGE(H8:H42),2),""))</f>
        <v/>
      </c>
      <c r="I5" s="59">
        <f>IF(I$4="","",IFERROR(ROUND(AVERAGE(I8:I42),2),""))</f>
        <v/>
      </c>
      <c r="J5" s="59">
        <f>IF(J$4="","",IFERROR(ROUND(AVERAGE(J8:J42),2),""))</f>
        <v/>
      </c>
      <c r="K5" s="59">
        <f>IF(K$4="","",IFERROR(ROUND(AVERAGE(K8:K42),2),""))</f>
        <v/>
      </c>
      <c r="L5" s="59">
        <f>IF(L$4="","",IFERROR(ROUND(AVERAGE(L8:L42),2),""))</f>
        <v/>
      </c>
      <c r="M5" s="59">
        <f>IF(M$4="","",IFERROR(ROUND(AVERAGE(M8:M42),2),""))</f>
        <v/>
      </c>
      <c r="N5" s="59">
        <f>IF(N$4="","",IFERROR(ROUND(AVERAGE(N8:N42),2),""))</f>
        <v/>
      </c>
      <c r="O5" s="59">
        <f>IF(O$4="","",IFERROR(ROUND(AVERAGE(O8:O42),2),""))</f>
        <v/>
      </c>
      <c r="P5" s="60">
        <f>IFERROR(ROUND(AVERAGE(P8:P42),2),"")</f>
        <v/>
      </c>
    </row>
    <row r="6">
      <c r="A6" s="61" t="n"/>
      <c r="B6" s="61" t="n"/>
      <c r="C6" s="62" t="inlineStr">
        <is>
          <t>Schnitt %</t>
        </is>
      </c>
      <c r="D6" s="63">
        <f>IF(D$4="","",IFERROR(D5/D$4,""))</f>
        <v/>
      </c>
      <c r="E6" s="63">
        <f>IF(E$4="","",IFERROR(E5/E$4,""))</f>
        <v/>
      </c>
      <c r="F6" s="63">
        <f>IF(F$4="","",IFERROR(F5/F$4,""))</f>
        <v/>
      </c>
      <c r="G6" s="63">
        <f>IF(G$4="","",IFERROR(G5/G$4,""))</f>
        <v/>
      </c>
      <c r="H6" s="63">
        <f>IF(H$4="","",IFERROR(H5/H$4,""))</f>
        <v/>
      </c>
      <c r="I6" s="63">
        <f>IF(I$4="","",IFERROR(I5/I$4,""))</f>
        <v/>
      </c>
      <c r="J6" s="63">
        <f>IF(J$4="","",IFERROR(J5/J$4,""))</f>
        <v/>
      </c>
      <c r="K6" s="63">
        <f>IF(K$4="","",IFERROR(K5/K$4,""))</f>
        <v/>
      </c>
      <c r="L6" s="63">
        <f>IF(L$4="","",IFERROR(L5/L$4,""))</f>
        <v/>
      </c>
      <c r="M6" s="63">
        <f>IF(M$4="","",IFERROR(M5/M$4,""))</f>
        <v/>
      </c>
      <c r="N6" s="63">
        <f>IF(N$4="","",IFERROR(N5/N$4,""))</f>
        <v/>
      </c>
      <c r="O6" s="63">
        <f>IF(O$4="","",IFERROR(O5/O$4,""))</f>
        <v/>
      </c>
      <c r="P6" s="64">
        <f>IFERROR(P5/P4,"")</f>
        <v/>
      </c>
      <c r="Q6" s="61" t="n"/>
      <c r="R6" s="61" t="n"/>
      <c r="S6" s="61" t="n"/>
    </row>
    <row r="7" ht="18" customHeight="1">
      <c r="A7" s="17" t="inlineStr">
        <is>
          <t>Nr</t>
        </is>
      </c>
      <c r="B7" s="18" t="inlineStr">
        <is>
          <t>Name</t>
        </is>
      </c>
      <c r="C7" s="18" t="inlineStr">
        <is>
          <t>Vorname</t>
        </is>
      </c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45" t="inlineStr">
        <is>
          <t>Ges.</t>
        </is>
      </c>
      <c r="Q7" s="17" t="inlineStr">
        <is>
          <t>%</t>
        </is>
      </c>
      <c r="R7" s="17" t="inlineStr">
        <is>
          <t>Punkte</t>
        </is>
      </c>
      <c r="S7" s="17" t="inlineStr">
        <is>
          <t>Note</t>
        </is>
      </c>
      <c r="T7" s="18" t="inlineStr">
        <is>
          <t>Lob / Hinweis</t>
        </is>
      </c>
    </row>
    <row r="8">
      <c r="A8" s="37" t="n">
        <v>1</v>
      </c>
      <c r="B8" s="31">
        <f>IF(INDEX(Klassenliste!$B$6:$B$40,1)=0,"",INDEX(Klassenliste!$B$6:$B$40,1))</f>
        <v/>
      </c>
      <c r="C8" s="31">
        <f>IF(INDEX(Klassenliste!$C$6:$C$40,1)=0,"",INDEX(Klassenliste!$C$6:$C$40,1))</f>
        <v/>
      </c>
      <c r="D8" s="49" t="inlineStr"/>
      <c r="E8" s="49" t="inlineStr"/>
      <c r="F8" s="49" t="inlineStr"/>
      <c r="G8" s="49" t="inlineStr"/>
      <c r="H8" s="49" t="inlineStr"/>
      <c r="I8" s="49" t="inlineStr"/>
      <c r="J8" s="49" t="inlineStr"/>
      <c r="K8" s="49" t="inlineStr"/>
      <c r="L8" s="49" t="inlineStr"/>
      <c r="M8" s="49" t="inlineStr"/>
      <c r="N8" s="49" t="inlineStr"/>
      <c r="O8" s="49" t="inlineStr"/>
      <c r="P8" s="47">
        <f>IF(COUNT(D8:O8)=0,"",SUM(D8:O8))</f>
        <v/>
      </c>
      <c r="Q8" s="65">
        <f>IF(P8="","",P8/$P$4)</f>
        <v/>
      </c>
      <c r="R8" s="50">
        <f>IF(Q8="","",LOOKUP(ROUND(Q8,6),Notentabelle!$C$4:$C$19,Notentabelle!$A$4:$A$19))</f>
        <v/>
      </c>
      <c r="S8" s="22">
        <f>IF(R8="","",INDEX(Notentabelle!$B$4:$B$19,R8+1))</f>
        <v/>
      </c>
      <c r="T8" s="66" t="inlineStr"/>
    </row>
    <row r="9">
      <c r="A9" s="37" t="n">
        <v>2</v>
      </c>
      <c r="B9" s="31">
        <f>IF(INDEX(Klassenliste!$B$6:$B$40,2)=0,"",INDEX(Klassenliste!$B$6:$B$40,2))</f>
        <v/>
      </c>
      <c r="C9" s="31">
        <f>IF(INDEX(Klassenliste!$C$6:$C$40,2)=0,"",INDEX(Klassenliste!$C$6:$C$40,2))</f>
        <v/>
      </c>
      <c r="D9" s="49" t="inlineStr"/>
      <c r="E9" s="49" t="inlineStr"/>
      <c r="F9" s="49" t="inlineStr"/>
      <c r="G9" s="49" t="inlineStr"/>
      <c r="H9" s="49" t="inlineStr"/>
      <c r="I9" s="49" t="inlineStr"/>
      <c r="J9" s="49" t="inlineStr"/>
      <c r="K9" s="49" t="inlineStr"/>
      <c r="L9" s="49" t="inlineStr"/>
      <c r="M9" s="49" t="inlineStr"/>
      <c r="N9" s="49" t="inlineStr"/>
      <c r="O9" s="49" t="inlineStr"/>
      <c r="P9" s="47">
        <f>IF(COUNT(D9:O9)=0,"",SUM(D9:O9))</f>
        <v/>
      </c>
      <c r="Q9" s="65">
        <f>IF(P9="","",P9/$P$4)</f>
        <v/>
      </c>
      <c r="R9" s="50">
        <f>IF(Q9="","",LOOKUP(ROUND(Q9,6),Notentabelle!$C$4:$C$19,Notentabelle!$A$4:$A$19))</f>
        <v/>
      </c>
      <c r="S9" s="22">
        <f>IF(R9="","",INDEX(Notentabelle!$B$4:$B$19,R9+1))</f>
        <v/>
      </c>
      <c r="T9" s="66" t="inlineStr"/>
    </row>
    <row r="10">
      <c r="A10" s="37" t="n">
        <v>3</v>
      </c>
      <c r="B10" s="31">
        <f>IF(INDEX(Klassenliste!$B$6:$B$40,3)=0,"",INDEX(Klassenliste!$B$6:$B$40,3))</f>
        <v/>
      </c>
      <c r="C10" s="31">
        <f>IF(INDEX(Klassenliste!$C$6:$C$40,3)=0,"",INDEX(Klassenliste!$C$6:$C$40,3))</f>
        <v/>
      </c>
      <c r="D10" s="49" t="inlineStr"/>
      <c r="E10" s="49" t="inlineStr"/>
      <c r="F10" s="49" t="inlineStr"/>
      <c r="G10" s="49" t="inlineStr"/>
      <c r="H10" s="49" t="inlineStr"/>
      <c r="I10" s="49" t="inlineStr"/>
      <c r="J10" s="49" t="inlineStr"/>
      <c r="K10" s="49" t="inlineStr"/>
      <c r="L10" s="49" t="inlineStr"/>
      <c r="M10" s="49" t="inlineStr"/>
      <c r="N10" s="49" t="inlineStr"/>
      <c r="O10" s="49" t="inlineStr"/>
      <c r="P10" s="47">
        <f>IF(COUNT(D10:O10)=0,"",SUM(D10:O10))</f>
        <v/>
      </c>
      <c r="Q10" s="65">
        <f>IF(P10="","",P10/$P$4)</f>
        <v/>
      </c>
      <c r="R10" s="50">
        <f>IF(Q10="","",LOOKUP(ROUND(Q10,6),Notentabelle!$C$4:$C$19,Notentabelle!$A$4:$A$19))</f>
        <v/>
      </c>
      <c r="S10" s="22">
        <f>IF(R10="","",INDEX(Notentabelle!$B$4:$B$19,R10+1))</f>
        <v/>
      </c>
      <c r="T10" s="66" t="inlineStr"/>
    </row>
    <row r="11">
      <c r="A11" s="37" t="n">
        <v>4</v>
      </c>
      <c r="B11" s="31">
        <f>IF(INDEX(Klassenliste!$B$6:$B$40,4)=0,"",INDEX(Klassenliste!$B$6:$B$40,4))</f>
        <v/>
      </c>
      <c r="C11" s="31">
        <f>IF(INDEX(Klassenliste!$C$6:$C$40,4)=0,"",INDEX(Klassenliste!$C$6:$C$40,4))</f>
        <v/>
      </c>
      <c r="D11" s="49" t="inlineStr"/>
      <c r="E11" s="49" t="inlineStr"/>
      <c r="F11" s="49" t="inlineStr"/>
      <c r="G11" s="49" t="inlineStr"/>
      <c r="H11" s="49" t="inlineStr"/>
      <c r="I11" s="49" t="inlineStr"/>
      <c r="J11" s="49" t="inlineStr"/>
      <c r="K11" s="49" t="inlineStr"/>
      <c r="L11" s="49" t="inlineStr"/>
      <c r="M11" s="49" t="inlineStr"/>
      <c r="N11" s="49" t="inlineStr"/>
      <c r="O11" s="49" t="inlineStr"/>
      <c r="P11" s="47">
        <f>IF(COUNT(D11:O11)=0,"",SUM(D11:O11))</f>
        <v/>
      </c>
      <c r="Q11" s="65">
        <f>IF(P11="","",P11/$P$4)</f>
        <v/>
      </c>
      <c r="R11" s="50">
        <f>IF(Q11="","",LOOKUP(ROUND(Q11,6),Notentabelle!$C$4:$C$19,Notentabelle!$A$4:$A$19))</f>
        <v/>
      </c>
      <c r="S11" s="22">
        <f>IF(R11="","",INDEX(Notentabelle!$B$4:$B$19,R11+1))</f>
        <v/>
      </c>
      <c r="T11" s="66" t="inlineStr"/>
    </row>
    <row r="12">
      <c r="A12" s="37" t="n">
        <v>5</v>
      </c>
      <c r="B12" s="31">
        <f>IF(INDEX(Klassenliste!$B$6:$B$40,5)=0,"",INDEX(Klassenliste!$B$6:$B$40,5))</f>
        <v/>
      </c>
      <c r="C12" s="31">
        <f>IF(INDEX(Klassenliste!$C$6:$C$40,5)=0,"",INDEX(Klassenliste!$C$6:$C$40,5))</f>
        <v/>
      </c>
      <c r="D12" s="49" t="inlineStr"/>
      <c r="E12" s="49" t="inlineStr"/>
      <c r="F12" s="49" t="inlineStr"/>
      <c r="G12" s="49" t="inlineStr"/>
      <c r="H12" s="49" t="inlineStr"/>
      <c r="I12" s="49" t="inlineStr"/>
      <c r="J12" s="49" t="inlineStr"/>
      <c r="K12" s="49" t="inlineStr"/>
      <c r="L12" s="49" t="inlineStr"/>
      <c r="M12" s="49" t="inlineStr"/>
      <c r="N12" s="49" t="inlineStr"/>
      <c r="O12" s="49" t="inlineStr"/>
      <c r="P12" s="47">
        <f>IF(COUNT(D12:O12)=0,"",SUM(D12:O12))</f>
        <v/>
      </c>
      <c r="Q12" s="65">
        <f>IF(P12="","",P12/$P$4)</f>
        <v/>
      </c>
      <c r="R12" s="50">
        <f>IF(Q12="","",LOOKUP(ROUND(Q12,6),Notentabelle!$C$4:$C$19,Notentabelle!$A$4:$A$19))</f>
        <v/>
      </c>
      <c r="S12" s="22">
        <f>IF(R12="","",INDEX(Notentabelle!$B$4:$B$19,R12+1))</f>
        <v/>
      </c>
      <c r="T12" s="66" t="inlineStr"/>
    </row>
    <row r="13">
      <c r="A13" s="37" t="n">
        <v>6</v>
      </c>
      <c r="B13" s="31">
        <f>IF(INDEX(Klassenliste!$B$6:$B$40,6)=0,"",INDEX(Klassenliste!$B$6:$B$40,6))</f>
        <v/>
      </c>
      <c r="C13" s="31">
        <f>IF(INDEX(Klassenliste!$C$6:$C$40,6)=0,"",INDEX(Klassenliste!$C$6:$C$40,6))</f>
        <v/>
      </c>
      <c r="D13" s="49" t="inlineStr"/>
      <c r="E13" s="49" t="inlineStr"/>
      <c r="F13" s="49" t="inlineStr"/>
      <c r="G13" s="49" t="inlineStr"/>
      <c r="H13" s="49" t="inlineStr"/>
      <c r="I13" s="49" t="inlineStr"/>
      <c r="J13" s="49" t="inlineStr"/>
      <c r="K13" s="49" t="inlineStr"/>
      <c r="L13" s="49" t="inlineStr"/>
      <c r="M13" s="49" t="inlineStr"/>
      <c r="N13" s="49" t="inlineStr"/>
      <c r="O13" s="49" t="inlineStr"/>
      <c r="P13" s="47">
        <f>IF(COUNT(D13:O13)=0,"",SUM(D13:O13))</f>
        <v/>
      </c>
      <c r="Q13" s="65">
        <f>IF(P13="","",P13/$P$4)</f>
        <v/>
      </c>
      <c r="R13" s="50">
        <f>IF(Q13="","",LOOKUP(ROUND(Q13,6),Notentabelle!$C$4:$C$19,Notentabelle!$A$4:$A$19))</f>
        <v/>
      </c>
      <c r="S13" s="22">
        <f>IF(R13="","",INDEX(Notentabelle!$B$4:$B$19,R13+1))</f>
        <v/>
      </c>
      <c r="T13" s="66" t="inlineStr"/>
    </row>
    <row r="14">
      <c r="A14" s="37" t="n">
        <v>7</v>
      </c>
      <c r="B14" s="31">
        <f>IF(INDEX(Klassenliste!$B$6:$B$40,7)=0,"",INDEX(Klassenliste!$B$6:$B$40,7))</f>
        <v/>
      </c>
      <c r="C14" s="31">
        <f>IF(INDEX(Klassenliste!$C$6:$C$40,7)=0,"",INDEX(Klassenliste!$C$6:$C$40,7))</f>
        <v/>
      </c>
      <c r="D14" s="49" t="inlineStr"/>
      <c r="E14" s="49" t="inlineStr"/>
      <c r="F14" s="49" t="inlineStr"/>
      <c r="G14" s="49" t="inlineStr"/>
      <c r="H14" s="49" t="inlineStr"/>
      <c r="I14" s="49" t="inlineStr"/>
      <c r="J14" s="49" t="inlineStr"/>
      <c r="K14" s="49" t="inlineStr"/>
      <c r="L14" s="49" t="inlineStr"/>
      <c r="M14" s="49" t="inlineStr"/>
      <c r="N14" s="49" t="inlineStr"/>
      <c r="O14" s="49" t="inlineStr"/>
      <c r="P14" s="47">
        <f>IF(COUNT(D14:O14)=0,"",SUM(D14:O14))</f>
        <v/>
      </c>
      <c r="Q14" s="65">
        <f>IF(P14="","",P14/$P$4)</f>
        <v/>
      </c>
      <c r="R14" s="50">
        <f>IF(Q14="","",LOOKUP(ROUND(Q14,6),Notentabelle!$C$4:$C$19,Notentabelle!$A$4:$A$19))</f>
        <v/>
      </c>
      <c r="S14" s="22">
        <f>IF(R14="","",INDEX(Notentabelle!$B$4:$B$19,R14+1))</f>
        <v/>
      </c>
      <c r="T14" s="66" t="inlineStr"/>
    </row>
    <row r="15">
      <c r="A15" s="37" t="n">
        <v>8</v>
      </c>
      <c r="B15" s="31">
        <f>IF(INDEX(Klassenliste!$B$6:$B$40,8)=0,"",INDEX(Klassenliste!$B$6:$B$40,8))</f>
        <v/>
      </c>
      <c r="C15" s="31">
        <f>IF(INDEX(Klassenliste!$C$6:$C$40,8)=0,"",INDEX(Klassenliste!$C$6:$C$40,8))</f>
        <v/>
      </c>
      <c r="D15" s="49" t="inlineStr"/>
      <c r="E15" s="49" t="inlineStr"/>
      <c r="F15" s="49" t="inlineStr"/>
      <c r="G15" s="49" t="inlineStr"/>
      <c r="H15" s="49" t="inlineStr"/>
      <c r="I15" s="49" t="inlineStr"/>
      <c r="J15" s="49" t="inlineStr"/>
      <c r="K15" s="49" t="inlineStr"/>
      <c r="L15" s="49" t="inlineStr"/>
      <c r="M15" s="49" t="inlineStr"/>
      <c r="N15" s="49" t="inlineStr"/>
      <c r="O15" s="49" t="inlineStr"/>
      <c r="P15" s="47">
        <f>IF(COUNT(D15:O15)=0,"",SUM(D15:O15))</f>
        <v/>
      </c>
      <c r="Q15" s="65">
        <f>IF(P15="","",P15/$P$4)</f>
        <v/>
      </c>
      <c r="R15" s="50">
        <f>IF(Q15="","",LOOKUP(ROUND(Q15,6),Notentabelle!$C$4:$C$19,Notentabelle!$A$4:$A$19))</f>
        <v/>
      </c>
      <c r="S15" s="22">
        <f>IF(R15="","",INDEX(Notentabelle!$B$4:$B$19,R15+1))</f>
        <v/>
      </c>
      <c r="T15" s="66" t="inlineStr"/>
    </row>
    <row r="16">
      <c r="A16" s="37" t="n">
        <v>9</v>
      </c>
      <c r="B16" s="31">
        <f>IF(INDEX(Klassenliste!$B$6:$B$40,9)=0,"",INDEX(Klassenliste!$B$6:$B$40,9))</f>
        <v/>
      </c>
      <c r="C16" s="31">
        <f>IF(INDEX(Klassenliste!$C$6:$C$40,9)=0,"",INDEX(Klassenliste!$C$6:$C$40,9))</f>
        <v/>
      </c>
      <c r="D16" s="49" t="inlineStr"/>
      <c r="E16" s="49" t="inlineStr"/>
      <c r="F16" s="49" t="inlineStr"/>
      <c r="G16" s="49" t="inlineStr"/>
      <c r="H16" s="49" t="inlineStr"/>
      <c r="I16" s="49" t="inlineStr"/>
      <c r="J16" s="49" t="inlineStr"/>
      <c r="K16" s="49" t="inlineStr"/>
      <c r="L16" s="49" t="inlineStr"/>
      <c r="M16" s="49" t="inlineStr"/>
      <c r="N16" s="49" t="inlineStr"/>
      <c r="O16" s="49" t="inlineStr"/>
      <c r="P16" s="47">
        <f>IF(COUNT(D16:O16)=0,"",SUM(D16:O16))</f>
        <v/>
      </c>
      <c r="Q16" s="65">
        <f>IF(P16="","",P16/$P$4)</f>
        <v/>
      </c>
      <c r="R16" s="50">
        <f>IF(Q16="","",LOOKUP(ROUND(Q16,6),Notentabelle!$C$4:$C$19,Notentabelle!$A$4:$A$19))</f>
        <v/>
      </c>
      <c r="S16" s="22">
        <f>IF(R16="","",INDEX(Notentabelle!$B$4:$B$19,R16+1))</f>
        <v/>
      </c>
      <c r="T16" s="66" t="inlineStr"/>
    </row>
    <row r="17">
      <c r="A17" s="37" t="n">
        <v>10</v>
      </c>
      <c r="B17" s="31">
        <f>IF(INDEX(Klassenliste!$B$6:$B$40,10)=0,"",INDEX(Klassenliste!$B$6:$B$40,10))</f>
        <v/>
      </c>
      <c r="C17" s="31">
        <f>IF(INDEX(Klassenliste!$C$6:$C$40,10)=0,"",INDEX(Klassenliste!$C$6:$C$40,10))</f>
        <v/>
      </c>
      <c r="D17" s="49" t="inlineStr"/>
      <c r="E17" s="49" t="inlineStr"/>
      <c r="F17" s="49" t="inlineStr"/>
      <c r="G17" s="49" t="inlineStr"/>
      <c r="H17" s="49" t="inlineStr"/>
      <c r="I17" s="49" t="inlineStr"/>
      <c r="J17" s="49" t="inlineStr"/>
      <c r="K17" s="49" t="inlineStr"/>
      <c r="L17" s="49" t="inlineStr"/>
      <c r="M17" s="49" t="inlineStr"/>
      <c r="N17" s="49" t="inlineStr"/>
      <c r="O17" s="49" t="inlineStr"/>
      <c r="P17" s="47">
        <f>IF(COUNT(D17:O17)=0,"",SUM(D17:O17))</f>
        <v/>
      </c>
      <c r="Q17" s="65">
        <f>IF(P17="","",P17/$P$4)</f>
        <v/>
      </c>
      <c r="R17" s="50">
        <f>IF(Q17="","",LOOKUP(ROUND(Q17,6),Notentabelle!$C$4:$C$19,Notentabelle!$A$4:$A$19))</f>
        <v/>
      </c>
      <c r="S17" s="22">
        <f>IF(R17="","",INDEX(Notentabelle!$B$4:$B$19,R17+1))</f>
        <v/>
      </c>
      <c r="T17" s="66" t="inlineStr"/>
    </row>
    <row r="18">
      <c r="A18" s="37" t="n">
        <v>11</v>
      </c>
      <c r="B18" s="31">
        <f>IF(INDEX(Klassenliste!$B$6:$B$40,11)=0,"",INDEX(Klassenliste!$B$6:$B$40,11))</f>
        <v/>
      </c>
      <c r="C18" s="31">
        <f>IF(INDEX(Klassenliste!$C$6:$C$40,11)=0,"",INDEX(Klassenliste!$C$6:$C$40,11))</f>
        <v/>
      </c>
      <c r="D18" s="49" t="inlineStr"/>
      <c r="E18" s="49" t="inlineStr"/>
      <c r="F18" s="49" t="inlineStr"/>
      <c r="G18" s="49" t="inlineStr"/>
      <c r="H18" s="49" t="inlineStr"/>
      <c r="I18" s="49" t="inlineStr"/>
      <c r="J18" s="49" t="inlineStr"/>
      <c r="K18" s="49" t="inlineStr"/>
      <c r="L18" s="49" t="inlineStr"/>
      <c r="M18" s="49" t="inlineStr"/>
      <c r="N18" s="49" t="inlineStr"/>
      <c r="O18" s="49" t="inlineStr"/>
      <c r="P18" s="47">
        <f>IF(COUNT(D18:O18)=0,"",SUM(D18:O18))</f>
        <v/>
      </c>
      <c r="Q18" s="65">
        <f>IF(P18="","",P18/$P$4)</f>
        <v/>
      </c>
      <c r="R18" s="50">
        <f>IF(Q18="","",LOOKUP(ROUND(Q18,6),Notentabelle!$C$4:$C$19,Notentabelle!$A$4:$A$19))</f>
        <v/>
      </c>
      <c r="S18" s="22">
        <f>IF(R18="","",INDEX(Notentabelle!$B$4:$B$19,R18+1))</f>
        <v/>
      </c>
      <c r="T18" s="66" t="inlineStr"/>
    </row>
    <row r="19">
      <c r="A19" s="37" t="n">
        <v>12</v>
      </c>
      <c r="B19" s="31">
        <f>IF(INDEX(Klassenliste!$B$6:$B$40,12)=0,"",INDEX(Klassenliste!$B$6:$B$40,12))</f>
        <v/>
      </c>
      <c r="C19" s="31">
        <f>IF(INDEX(Klassenliste!$C$6:$C$40,12)=0,"",INDEX(Klassenliste!$C$6:$C$40,12))</f>
        <v/>
      </c>
      <c r="D19" s="49" t="inlineStr"/>
      <c r="E19" s="49" t="inlineStr"/>
      <c r="F19" s="49" t="inlineStr"/>
      <c r="G19" s="49" t="inlineStr"/>
      <c r="H19" s="49" t="inlineStr"/>
      <c r="I19" s="49" t="inlineStr"/>
      <c r="J19" s="49" t="inlineStr"/>
      <c r="K19" s="49" t="inlineStr"/>
      <c r="L19" s="49" t="inlineStr"/>
      <c r="M19" s="49" t="inlineStr"/>
      <c r="N19" s="49" t="inlineStr"/>
      <c r="O19" s="49" t="inlineStr"/>
      <c r="P19" s="47">
        <f>IF(COUNT(D19:O19)=0,"",SUM(D19:O19))</f>
        <v/>
      </c>
      <c r="Q19" s="65">
        <f>IF(P19="","",P19/$P$4)</f>
        <v/>
      </c>
      <c r="R19" s="50">
        <f>IF(Q19="","",LOOKUP(ROUND(Q19,6),Notentabelle!$C$4:$C$19,Notentabelle!$A$4:$A$19))</f>
        <v/>
      </c>
      <c r="S19" s="22">
        <f>IF(R19="","",INDEX(Notentabelle!$B$4:$B$19,R19+1))</f>
        <v/>
      </c>
      <c r="T19" s="66" t="inlineStr"/>
    </row>
    <row r="20">
      <c r="A20" s="37" t="n">
        <v>13</v>
      </c>
      <c r="B20" s="31">
        <f>IF(INDEX(Klassenliste!$B$6:$B$40,13)=0,"",INDEX(Klassenliste!$B$6:$B$40,13))</f>
        <v/>
      </c>
      <c r="C20" s="31">
        <f>IF(INDEX(Klassenliste!$C$6:$C$40,13)=0,"",INDEX(Klassenliste!$C$6:$C$40,13))</f>
        <v/>
      </c>
      <c r="D20" s="49" t="inlineStr"/>
      <c r="E20" s="49" t="inlineStr"/>
      <c r="F20" s="49" t="inlineStr"/>
      <c r="G20" s="49" t="inlineStr"/>
      <c r="H20" s="49" t="inlineStr"/>
      <c r="I20" s="49" t="inlineStr"/>
      <c r="J20" s="49" t="inlineStr"/>
      <c r="K20" s="49" t="inlineStr"/>
      <c r="L20" s="49" t="inlineStr"/>
      <c r="M20" s="49" t="inlineStr"/>
      <c r="N20" s="49" t="inlineStr"/>
      <c r="O20" s="49" t="inlineStr"/>
      <c r="P20" s="47">
        <f>IF(COUNT(D20:O20)=0,"",SUM(D20:O20))</f>
        <v/>
      </c>
      <c r="Q20" s="65">
        <f>IF(P20="","",P20/$P$4)</f>
        <v/>
      </c>
      <c r="R20" s="50">
        <f>IF(Q20="","",LOOKUP(ROUND(Q20,6),Notentabelle!$C$4:$C$19,Notentabelle!$A$4:$A$19))</f>
        <v/>
      </c>
      <c r="S20" s="22">
        <f>IF(R20="","",INDEX(Notentabelle!$B$4:$B$19,R20+1))</f>
        <v/>
      </c>
      <c r="T20" s="66" t="inlineStr"/>
    </row>
    <row r="21">
      <c r="A21" s="37" t="n">
        <v>14</v>
      </c>
      <c r="B21" s="31">
        <f>IF(INDEX(Klassenliste!$B$6:$B$40,14)=0,"",INDEX(Klassenliste!$B$6:$B$40,14))</f>
        <v/>
      </c>
      <c r="C21" s="31">
        <f>IF(INDEX(Klassenliste!$C$6:$C$40,14)=0,"",INDEX(Klassenliste!$C$6:$C$40,14))</f>
        <v/>
      </c>
      <c r="D21" s="49" t="inlineStr"/>
      <c r="E21" s="49" t="inlineStr"/>
      <c r="F21" s="49" t="inlineStr"/>
      <c r="G21" s="49" t="inlineStr"/>
      <c r="H21" s="49" t="inlineStr"/>
      <c r="I21" s="49" t="inlineStr"/>
      <c r="J21" s="49" t="inlineStr"/>
      <c r="K21" s="49" t="inlineStr"/>
      <c r="L21" s="49" t="inlineStr"/>
      <c r="M21" s="49" t="inlineStr"/>
      <c r="N21" s="49" t="inlineStr"/>
      <c r="O21" s="49" t="inlineStr"/>
      <c r="P21" s="47">
        <f>IF(COUNT(D21:O21)=0,"",SUM(D21:O21))</f>
        <v/>
      </c>
      <c r="Q21" s="65">
        <f>IF(P21="","",P21/$P$4)</f>
        <v/>
      </c>
      <c r="R21" s="50">
        <f>IF(Q21="","",LOOKUP(ROUND(Q21,6),Notentabelle!$C$4:$C$19,Notentabelle!$A$4:$A$19))</f>
        <v/>
      </c>
      <c r="S21" s="22">
        <f>IF(R21="","",INDEX(Notentabelle!$B$4:$B$19,R21+1))</f>
        <v/>
      </c>
      <c r="T21" s="66" t="inlineStr"/>
    </row>
    <row r="22">
      <c r="A22" s="37" t="n">
        <v>15</v>
      </c>
      <c r="B22" s="31">
        <f>IF(INDEX(Klassenliste!$B$6:$B$40,15)=0,"",INDEX(Klassenliste!$B$6:$B$40,15))</f>
        <v/>
      </c>
      <c r="C22" s="31">
        <f>IF(INDEX(Klassenliste!$C$6:$C$40,15)=0,"",INDEX(Klassenliste!$C$6:$C$40,15))</f>
        <v/>
      </c>
      <c r="D22" s="49" t="inlineStr"/>
      <c r="E22" s="49" t="inlineStr"/>
      <c r="F22" s="49" t="inlineStr"/>
      <c r="G22" s="49" t="inlineStr"/>
      <c r="H22" s="49" t="inlineStr"/>
      <c r="I22" s="49" t="inlineStr"/>
      <c r="J22" s="49" t="inlineStr"/>
      <c r="K22" s="49" t="inlineStr"/>
      <c r="L22" s="49" t="inlineStr"/>
      <c r="M22" s="49" t="inlineStr"/>
      <c r="N22" s="49" t="inlineStr"/>
      <c r="O22" s="49" t="inlineStr"/>
      <c r="P22" s="47">
        <f>IF(COUNT(D22:O22)=0,"",SUM(D22:O22))</f>
        <v/>
      </c>
      <c r="Q22" s="65">
        <f>IF(P22="","",P22/$P$4)</f>
        <v/>
      </c>
      <c r="R22" s="50">
        <f>IF(Q22="","",LOOKUP(ROUND(Q22,6),Notentabelle!$C$4:$C$19,Notentabelle!$A$4:$A$19))</f>
        <v/>
      </c>
      <c r="S22" s="22">
        <f>IF(R22="","",INDEX(Notentabelle!$B$4:$B$19,R22+1))</f>
        <v/>
      </c>
      <c r="T22" s="66" t="inlineStr"/>
    </row>
    <row r="23">
      <c r="A23" s="37" t="n">
        <v>16</v>
      </c>
      <c r="B23" s="31">
        <f>IF(INDEX(Klassenliste!$B$6:$B$40,16)=0,"",INDEX(Klassenliste!$B$6:$B$40,16))</f>
        <v/>
      </c>
      <c r="C23" s="31">
        <f>IF(INDEX(Klassenliste!$C$6:$C$40,16)=0,"",INDEX(Klassenliste!$C$6:$C$40,16))</f>
        <v/>
      </c>
      <c r="D23" s="49" t="inlineStr"/>
      <c r="E23" s="49" t="inlineStr"/>
      <c r="F23" s="49" t="inlineStr"/>
      <c r="G23" s="49" t="inlineStr"/>
      <c r="H23" s="49" t="inlineStr"/>
      <c r="I23" s="49" t="inlineStr"/>
      <c r="J23" s="49" t="inlineStr"/>
      <c r="K23" s="49" t="inlineStr"/>
      <c r="L23" s="49" t="inlineStr"/>
      <c r="M23" s="49" t="inlineStr"/>
      <c r="N23" s="49" t="inlineStr"/>
      <c r="O23" s="49" t="inlineStr"/>
      <c r="P23" s="47">
        <f>IF(COUNT(D23:O23)=0,"",SUM(D23:O23))</f>
        <v/>
      </c>
      <c r="Q23" s="65">
        <f>IF(P23="","",P23/$P$4)</f>
        <v/>
      </c>
      <c r="R23" s="50">
        <f>IF(Q23="","",LOOKUP(ROUND(Q23,6),Notentabelle!$C$4:$C$19,Notentabelle!$A$4:$A$19))</f>
        <v/>
      </c>
      <c r="S23" s="22">
        <f>IF(R23="","",INDEX(Notentabelle!$B$4:$B$19,R23+1))</f>
        <v/>
      </c>
      <c r="T23" s="66" t="inlineStr"/>
    </row>
    <row r="24">
      <c r="A24" s="37" t="n">
        <v>17</v>
      </c>
      <c r="B24" s="31">
        <f>IF(INDEX(Klassenliste!$B$6:$B$40,17)=0,"",INDEX(Klassenliste!$B$6:$B$40,17))</f>
        <v/>
      </c>
      <c r="C24" s="31">
        <f>IF(INDEX(Klassenliste!$C$6:$C$40,17)=0,"",INDEX(Klassenliste!$C$6:$C$40,17))</f>
        <v/>
      </c>
      <c r="D24" s="49" t="inlineStr"/>
      <c r="E24" s="49" t="inlineStr"/>
      <c r="F24" s="49" t="inlineStr"/>
      <c r="G24" s="49" t="inlineStr"/>
      <c r="H24" s="49" t="inlineStr"/>
      <c r="I24" s="49" t="inlineStr"/>
      <c r="J24" s="49" t="inlineStr"/>
      <c r="K24" s="49" t="inlineStr"/>
      <c r="L24" s="49" t="inlineStr"/>
      <c r="M24" s="49" t="inlineStr"/>
      <c r="N24" s="49" t="inlineStr"/>
      <c r="O24" s="49" t="inlineStr"/>
      <c r="P24" s="47">
        <f>IF(COUNT(D24:O24)=0,"",SUM(D24:O24))</f>
        <v/>
      </c>
      <c r="Q24" s="65">
        <f>IF(P24="","",P24/$P$4)</f>
        <v/>
      </c>
      <c r="R24" s="50">
        <f>IF(Q24="","",LOOKUP(ROUND(Q24,6),Notentabelle!$C$4:$C$19,Notentabelle!$A$4:$A$19))</f>
        <v/>
      </c>
      <c r="S24" s="22">
        <f>IF(R24="","",INDEX(Notentabelle!$B$4:$B$19,R24+1))</f>
        <v/>
      </c>
      <c r="T24" s="66" t="inlineStr"/>
    </row>
    <row r="25">
      <c r="A25" s="37" t="n">
        <v>18</v>
      </c>
      <c r="B25" s="31">
        <f>IF(INDEX(Klassenliste!$B$6:$B$40,18)=0,"",INDEX(Klassenliste!$B$6:$B$40,18))</f>
        <v/>
      </c>
      <c r="C25" s="31">
        <f>IF(INDEX(Klassenliste!$C$6:$C$40,18)=0,"",INDEX(Klassenliste!$C$6:$C$40,18))</f>
        <v/>
      </c>
      <c r="D25" s="49" t="inlineStr"/>
      <c r="E25" s="49" t="inlineStr"/>
      <c r="F25" s="49" t="inlineStr"/>
      <c r="G25" s="49" t="inlineStr"/>
      <c r="H25" s="49" t="inlineStr"/>
      <c r="I25" s="49" t="inlineStr"/>
      <c r="J25" s="49" t="inlineStr"/>
      <c r="K25" s="49" t="inlineStr"/>
      <c r="L25" s="49" t="inlineStr"/>
      <c r="M25" s="49" t="inlineStr"/>
      <c r="N25" s="49" t="inlineStr"/>
      <c r="O25" s="49" t="inlineStr"/>
      <c r="P25" s="47">
        <f>IF(COUNT(D25:O25)=0,"",SUM(D25:O25))</f>
        <v/>
      </c>
      <c r="Q25" s="65">
        <f>IF(P25="","",P25/$P$4)</f>
        <v/>
      </c>
      <c r="R25" s="50">
        <f>IF(Q25="","",LOOKUP(ROUND(Q25,6),Notentabelle!$C$4:$C$19,Notentabelle!$A$4:$A$19))</f>
        <v/>
      </c>
      <c r="S25" s="22">
        <f>IF(R25="","",INDEX(Notentabelle!$B$4:$B$19,R25+1))</f>
        <v/>
      </c>
      <c r="T25" s="66" t="inlineStr"/>
    </row>
    <row r="26">
      <c r="A26" s="37" t="n">
        <v>19</v>
      </c>
      <c r="B26" s="31">
        <f>IF(INDEX(Klassenliste!$B$6:$B$40,19)=0,"",INDEX(Klassenliste!$B$6:$B$40,19))</f>
        <v/>
      </c>
      <c r="C26" s="31">
        <f>IF(INDEX(Klassenliste!$C$6:$C$40,19)=0,"",INDEX(Klassenliste!$C$6:$C$40,19))</f>
        <v/>
      </c>
      <c r="D26" s="49" t="inlineStr"/>
      <c r="E26" s="49" t="inlineStr"/>
      <c r="F26" s="49" t="inlineStr"/>
      <c r="G26" s="49" t="inlineStr"/>
      <c r="H26" s="49" t="inlineStr"/>
      <c r="I26" s="49" t="inlineStr"/>
      <c r="J26" s="49" t="inlineStr"/>
      <c r="K26" s="49" t="inlineStr"/>
      <c r="L26" s="49" t="inlineStr"/>
      <c r="M26" s="49" t="inlineStr"/>
      <c r="N26" s="49" t="inlineStr"/>
      <c r="O26" s="49" t="inlineStr"/>
      <c r="P26" s="47">
        <f>IF(COUNT(D26:O26)=0,"",SUM(D26:O26))</f>
        <v/>
      </c>
      <c r="Q26" s="65">
        <f>IF(P26="","",P26/$P$4)</f>
        <v/>
      </c>
      <c r="R26" s="50">
        <f>IF(Q26="","",LOOKUP(ROUND(Q26,6),Notentabelle!$C$4:$C$19,Notentabelle!$A$4:$A$19))</f>
        <v/>
      </c>
      <c r="S26" s="22">
        <f>IF(R26="","",INDEX(Notentabelle!$B$4:$B$19,R26+1))</f>
        <v/>
      </c>
      <c r="T26" s="66" t="inlineStr"/>
    </row>
    <row r="27">
      <c r="A27" s="37" t="n">
        <v>20</v>
      </c>
      <c r="B27" s="31">
        <f>IF(INDEX(Klassenliste!$B$6:$B$40,20)=0,"",INDEX(Klassenliste!$B$6:$B$40,20))</f>
        <v/>
      </c>
      <c r="C27" s="31">
        <f>IF(INDEX(Klassenliste!$C$6:$C$40,20)=0,"",INDEX(Klassenliste!$C$6:$C$40,20))</f>
        <v/>
      </c>
      <c r="D27" s="49" t="inlineStr"/>
      <c r="E27" s="49" t="inlineStr"/>
      <c r="F27" s="49" t="inlineStr"/>
      <c r="G27" s="49" t="inlineStr"/>
      <c r="H27" s="49" t="inlineStr"/>
      <c r="I27" s="49" t="inlineStr"/>
      <c r="J27" s="49" t="inlineStr"/>
      <c r="K27" s="49" t="inlineStr"/>
      <c r="L27" s="49" t="inlineStr"/>
      <c r="M27" s="49" t="inlineStr"/>
      <c r="N27" s="49" t="inlineStr"/>
      <c r="O27" s="49" t="inlineStr"/>
      <c r="P27" s="47">
        <f>IF(COUNT(D27:O27)=0,"",SUM(D27:O27))</f>
        <v/>
      </c>
      <c r="Q27" s="65">
        <f>IF(P27="","",P27/$P$4)</f>
        <v/>
      </c>
      <c r="R27" s="50">
        <f>IF(Q27="","",LOOKUP(ROUND(Q27,6),Notentabelle!$C$4:$C$19,Notentabelle!$A$4:$A$19))</f>
        <v/>
      </c>
      <c r="S27" s="22">
        <f>IF(R27="","",INDEX(Notentabelle!$B$4:$B$19,R27+1))</f>
        <v/>
      </c>
      <c r="T27" s="66" t="inlineStr"/>
    </row>
    <row r="28">
      <c r="A28" s="37" t="n">
        <v>21</v>
      </c>
      <c r="B28" s="31">
        <f>IF(INDEX(Klassenliste!$B$6:$B$40,21)=0,"",INDEX(Klassenliste!$B$6:$B$40,21))</f>
        <v/>
      </c>
      <c r="C28" s="31">
        <f>IF(INDEX(Klassenliste!$C$6:$C$40,21)=0,"",INDEX(Klassenliste!$C$6:$C$40,21))</f>
        <v/>
      </c>
      <c r="D28" s="49" t="inlineStr"/>
      <c r="E28" s="49" t="inlineStr"/>
      <c r="F28" s="49" t="inlineStr"/>
      <c r="G28" s="49" t="inlineStr"/>
      <c r="H28" s="49" t="inlineStr"/>
      <c r="I28" s="49" t="inlineStr"/>
      <c r="J28" s="49" t="inlineStr"/>
      <c r="K28" s="49" t="inlineStr"/>
      <c r="L28" s="49" t="inlineStr"/>
      <c r="M28" s="49" t="inlineStr"/>
      <c r="N28" s="49" t="inlineStr"/>
      <c r="O28" s="49" t="inlineStr"/>
      <c r="P28" s="47">
        <f>IF(COUNT(D28:O28)=0,"",SUM(D28:O28))</f>
        <v/>
      </c>
      <c r="Q28" s="65">
        <f>IF(P28="","",P28/$P$4)</f>
        <v/>
      </c>
      <c r="R28" s="50">
        <f>IF(Q28="","",LOOKUP(ROUND(Q28,6),Notentabelle!$C$4:$C$19,Notentabelle!$A$4:$A$19))</f>
        <v/>
      </c>
      <c r="S28" s="22">
        <f>IF(R28="","",INDEX(Notentabelle!$B$4:$B$19,R28+1))</f>
        <v/>
      </c>
      <c r="T28" s="66" t="inlineStr"/>
    </row>
    <row r="29">
      <c r="A29" s="37" t="n">
        <v>22</v>
      </c>
      <c r="B29" s="31">
        <f>IF(INDEX(Klassenliste!$B$6:$B$40,22)=0,"",INDEX(Klassenliste!$B$6:$B$40,22))</f>
        <v/>
      </c>
      <c r="C29" s="31">
        <f>IF(INDEX(Klassenliste!$C$6:$C$40,22)=0,"",INDEX(Klassenliste!$C$6:$C$40,22))</f>
        <v/>
      </c>
      <c r="D29" s="49" t="inlineStr"/>
      <c r="E29" s="49" t="inlineStr"/>
      <c r="F29" s="49" t="inlineStr"/>
      <c r="G29" s="49" t="inlineStr"/>
      <c r="H29" s="49" t="inlineStr"/>
      <c r="I29" s="49" t="inlineStr"/>
      <c r="J29" s="49" t="inlineStr"/>
      <c r="K29" s="49" t="inlineStr"/>
      <c r="L29" s="49" t="inlineStr"/>
      <c r="M29" s="49" t="inlineStr"/>
      <c r="N29" s="49" t="inlineStr"/>
      <c r="O29" s="49" t="inlineStr"/>
      <c r="P29" s="47">
        <f>IF(COUNT(D29:O29)=0,"",SUM(D29:O29))</f>
        <v/>
      </c>
      <c r="Q29" s="65">
        <f>IF(P29="","",P29/$P$4)</f>
        <v/>
      </c>
      <c r="R29" s="50">
        <f>IF(Q29="","",LOOKUP(ROUND(Q29,6),Notentabelle!$C$4:$C$19,Notentabelle!$A$4:$A$19))</f>
        <v/>
      </c>
      <c r="S29" s="22">
        <f>IF(R29="","",INDEX(Notentabelle!$B$4:$B$19,R29+1))</f>
        <v/>
      </c>
      <c r="T29" s="66" t="inlineStr"/>
    </row>
    <row r="30">
      <c r="A30" s="37" t="n">
        <v>23</v>
      </c>
      <c r="B30" s="31">
        <f>IF(INDEX(Klassenliste!$B$6:$B$40,23)=0,"",INDEX(Klassenliste!$B$6:$B$40,23))</f>
        <v/>
      </c>
      <c r="C30" s="31">
        <f>IF(INDEX(Klassenliste!$C$6:$C$40,23)=0,"",INDEX(Klassenliste!$C$6:$C$40,23))</f>
        <v/>
      </c>
      <c r="D30" s="49" t="inlineStr"/>
      <c r="E30" s="49" t="inlineStr"/>
      <c r="F30" s="49" t="inlineStr"/>
      <c r="G30" s="49" t="inlineStr"/>
      <c r="H30" s="49" t="inlineStr"/>
      <c r="I30" s="49" t="inlineStr"/>
      <c r="J30" s="49" t="inlineStr"/>
      <c r="K30" s="49" t="inlineStr"/>
      <c r="L30" s="49" t="inlineStr"/>
      <c r="M30" s="49" t="inlineStr"/>
      <c r="N30" s="49" t="inlineStr"/>
      <c r="O30" s="49" t="inlineStr"/>
      <c r="P30" s="47">
        <f>IF(COUNT(D30:O30)=0,"",SUM(D30:O30))</f>
        <v/>
      </c>
      <c r="Q30" s="65">
        <f>IF(P30="","",P30/$P$4)</f>
        <v/>
      </c>
      <c r="R30" s="50">
        <f>IF(Q30="","",LOOKUP(ROUND(Q30,6),Notentabelle!$C$4:$C$19,Notentabelle!$A$4:$A$19))</f>
        <v/>
      </c>
      <c r="S30" s="22">
        <f>IF(R30="","",INDEX(Notentabelle!$B$4:$B$19,R30+1))</f>
        <v/>
      </c>
      <c r="T30" s="66" t="inlineStr"/>
    </row>
    <row r="31">
      <c r="A31" s="37" t="n">
        <v>24</v>
      </c>
      <c r="B31" s="31">
        <f>IF(INDEX(Klassenliste!$B$6:$B$40,24)=0,"",INDEX(Klassenliste!$B$6:$B$40,24))</f>
        <v/>
      </c>
      <c r="C31" s="31">
        <f>IF(INDEX(Klassenliste!$C$6:$C$40,24)=0,"",INDEX(Klassenliste!$C$6:$C$40,24))</f>
        <v/>
      </c>
      <c r="D31" s="49" t="inlineStr"/>
      <c r="E31" s="49" t="inlineStr"/>
      <c r="F31" s="49" t="inlineStr"/>
      <c r="G31" s="49" t="inlineStr"/>
      <c r="H31" s="49" t="inlineStr"/>
      <c r="I31" s="49" t="inlineStr"/>
      <c r="J31" s="49" t="inlineStr"/>
      <c r="K31" s="49" t="inlineStr"/>
      <c r="L31" s="49" t="inlineStr"/>
      <c r="M31" s="49" t="inlineStr"/>
      <c r="N31" s="49" t="inlineStr"/>
      <c r="O31" s="49" t="inlineStr"/>
      <c r="P31" s="47">
        <f>IF(COUNT(D31:O31)=0,"",SUM(D31:O31))</f>
        <v/>
      </c>
      <c r="Q31" s="65">
        <f>IF(P31="","",P31/$P$4)</f>
        <v/>
      </c>
      <c r="R31" s="50">
        <f>IF(Q31="","",LOOKUP(ROUND(Q31,6),Notentabelle!$C$4:$C$19,Notentabelle!$A$4:$A$19))</f>
        <v/>
      </c>
      <c r="S31" s="22">
        <f>IF(R31="","",INDEX(Notentabelle!$B$4:$B$19,R31+1))</f>
        <v/>
      </c>
      <c r="T31" s="66" t="inlineStr"/>
    </row>
    <row r="32">
      <c r="A32" s="37" t="n">
        <v>25</v>
      </c>
      <c r="B32" s="31">
        <f>IF(INDEX(Klassenliste!$B$6:$B$40,25)=0,"",INDEX(Klassenliste!$B$6:$B$40,25))</f>
        <v/>
      </c>
      <c r="C32" s="31">
        <f>IF(INDEX(Klassenliste!$C$6:$C$40,25)=0,"",INDEX(Klassenliste!$C$6:$C$40,25))</f>
        <v/>
      </c>
      <c r="D32" s="49" t="inlineStr"/>
      <c r="E32" s="49" t="inlineStr"/>
      <c r="F32" s="49" t="inlineStr"/>
      <c r="G32" s="49" t="inlineStr"/>
      <c r="H32" s="49" t="inlineStr"/>
      <c r="I32" s="49" t="inlineStr"/>
      <c r="J32" s="49" t="inlineStr"/>
      <c r="K32" s="49" t="inlineStr"/>
      <c r="L32" s="49" t="inlineStr"/>
      <c r="M32" s="49" t="inlineStr"/>
      <c r="N32" s="49" t="inlineStr"/>
      <c r="O32" s="49" t="inlineStr"/>
      <c r="P32" s="47">
        <f>IF(COUNT(D32:O32)=0,"",SUM(D32:O32))</f>
        <v/>
      </c>
      <c r="Q32" s="65">
        <f>IF(P32="","",P32/$P$4)</f>
        <v/>
      </c>
      <c r="R32" s="50">
        <f>IF(Q32="","",LOOKUP(ROUND(Q32,6),Notentabelle!$C$4:$C$19,Notentabelle!$A$4:$A$19))</f>
        <v/>
      </c>
      <c r="S32" s="22">
        <f>IF(R32="","",INDEX(Notentabelle!$B$4:$B$19,R32+1))</f>
        <v/>
      </c>
      <c r="T32" s="66" t="inlineStr"/>
    </row>
    <row r="33">
      <c r="A33" s="37" t="n">
        <v>26</v>
      </c>
      <c r="B33" s="31">
        <f>IF(INDEX(Klassenliste!$B$6:$B$40,26)=0,"",INDEX(Klassenliste!$B$6:$B$40,26))</f>
        <v/>
      </c>
      <c r="C33" s="31">
        <f>IF(INDEX(Klassenliste!$C$6:$C$40,26)=0,"",INDEX(Klassenliste!$C$6:$C$40,26))</f>
        <v/>
      </c>
      <c r="D33" s="49" t="inlineStr"/>
      <c r="E33" s="49" t="inlineStr"/>
      <c r="F33" s="49" t="inlineStr"/>
      <c r="G33" s="49" t="inlineStr"/>
      <c r="H33" s="49" t="inlineStr"/>
      <c r="I33" s="49" t="inlineStr"/>
      <c r="J33" s="49" t="inlineStr"/>
      <c r="K33" s="49" t="inlineStr"/>
      <c r="L33" s="49" t="inlineStr"/>
      <c r="M33" s="49" t="inlineStr"/>
      <c r="N33" s="49" t="inlineStr"/>
      <c r="O33" s="49" t="inlineStr"/>
      <c r="P33" s="47">
        <f>IF(COUNT(D33:O33)=0,"",SUM(D33:O33))</f>
        <v/>
      </c>
      <c r="Q33" s="65">
        <f>IF(P33="","",P33/$P$4)</f>
        <v/>
      </c>
      <c r="R33" s="50">
        <f>IF(Q33="","",LOOKUP(ROUND(Q33,6),Notentabelle!$C$4:$C$19,Notentabelle!$A$4:$A$19))</f>
        <v/>
      </c>
      <c r="S33" s="22">
        <f>IF(R33="","",INDEX(Notentabelle!$B$4:$B$19,R33+1))</f>
        <v/>
      </c>
      <c r="T33" s="66" t="inlineStr"/>
    </row>
    <row r="34">
      <c r="A34" s="37" t="n">
        <v>27</v>
      </c>
      <c r="B34" s="31">
        <f>IF(INDEX(Klassenliste!$B$6:$B$40,27)=0,"",INDEX(Klassenliste!$B$6:$B$40,27))</f>
        <v/>
      </c>
      <c r="C34" s="31">
        <f>IF(INDEX(Klassenliste!$C$6:$C$40,27)=0,"",INDEX(Klassenliste!$C$6:$C$40,27))</f>
        <v/>
      </c>
      <c r="D34" s="49" t="inlineStr"/>
      <c r="E34" s="49" t="inlineStr"/>
      <c r="F34" s="49" t="inlineStr"/>
      <c r="G34" s="49" t="inlineStr"/>
      <c r="H34" s="49" t="inlineStr"/>
      <c r="I34" s="49" t="inlineStr"/>
      <c r="J34" s="49" t="inlineStr"/>
      <c r="K34" s="49" t="inlineStr"/>
      <c r="L34" s="49" t="inlineStr"/>
      <c r="M34" s="49" t="inlineStr"/>
      <c r="N34" s="49" t="inlineStr"/>
      <c r="O34" s="49" t="inlineStr"/>
      <c r="P34" s="47">
        <f>IF(COUNT(D34:O34)=0,"",SUM(D34:O34))</f>
        <v/>
      </c>
      <c r="Q34" s="65">
        <f>IF(P34="","",P34/$P$4)</f>
        <v/>
      </c>
      <c r="R34" s="50">
        <f>IF(Q34="","",LOOKUP(ROUND(Q34,6),Notentabelle!$C$4:$C$19,Notentabelle!$A$4:$A$19))</f>
        <v/>
      </c>
      <c r="S34" s="22">
        <f>IF(R34="","",INDEX(Notentabelle!$B$4:$B$19,R34+1))</f>
        <v/>
      </c>
      <c r="T34" s="66" t="inlineStr"/>
    </row>
    <row r="35">
      <c r="A35" s="37" t="n">
        <v>28</v>
      </c>
      <c r="B35" s="31">
        <f>IF(INDEX(Klassenliste!$B$6:$B$40,28)=0,"",INDEX(Klassenliste!$B$6:$B$40,28))</f>
        <v/>
      </c>
      <c r="C35" s="31">
        <f>IF(INDEX(Klassenliste!$C$6:$C$40,28)=0,"",INDEX(Klassenliste!$C$6:$C$40,28))</f>
        <v/>
      </c>
      <c r="D35" s="49" t="inlineStr"/>
      <c r="E35" s="49" t="inlineStr"/>
      <c r="F35" s="49" t="inlineStr"/>
      <c r="G35" s="49" t="inlineStr"/>
      <c r="H35" s="49" t="inlineStr"/>
      <c r="I35" s="49" t="inlineStr"/>
      <c r="J35" s="49" t="inlineStr"/>
      <c r="K35" s="49" t="inlineStr"/>
      <c r="L35" s="49" t="inlineStr"/>
      <c r="M35" s="49" t="inlineStr"/>
      <c r="N35" s="49" t="inlineStr"/>
      <c r="O35" s="49" t="inlineStr"/>
      <c r="P35" s="47">
        <f>IF(COUNT(D35:O35)=0,"",SUM(D35:O35))</f>
        <v/>
      </c>
      <c r="Q35" s="65">
        <f>IF(P35="","",P35/$P$4)</f>
        <v/>
      </c>
      <c r="R35" s="50">
        <f>IF(Q35="","",LOOKUP(ROUND(Q35,6),Notentabelle!$C$4:$C$19,Notentabelle!$A$4:$A$19))</f>
        <v/>
      </c>
      <c r="S35" s="22">
        <f>IF(R35="","",INDEX(Notentabelle!$B$4:$B$19,R35+1))</f>
        <v/>
      </c>
      <c r="T35" s="66" t="inlineStr"/>
    </row>
    <row r="36">
      <c r="A36" s="37" t="n">
        <v>29</v>
      </c>
      <c r="B36" s="31">
        <f>IF(INDEX(Klassenliste!$B$6:$B$40,29)=0,"",INDEX(Klassenliste!$B$6:$B$40,29))</f>
        <v/>
      </c>
      <c r="C36" s="31">
        <f>IF(INDEX(Klassenliste!$C$6:$C$40,29)=0,"",INDEX(Klassenliste!$C$6:$C$40,29))</f>
        <v/>
      </c>
      <c r="D36" s="49" t="inlineStr"/>
      <c r="E36" s="49" t="inlineStr"/>
      <c r="F36" s="49" t="inlineStr"/>
      <c r="G36" s="49" t="inlineStr"/>
      <c r="H36" s="49" t="inlineStr"/>
      <c r="I36" s="49" t="inlineStr"/>
      <c r="J36" s="49" t="inlineStr"/>
      <c r="K36" s="49" t="inlineStr"/>
      <c r="L36" s="49" t="inlineStr"/>
      <c r="M36" s="49" t="inlineStr"/>
      <c r="N36" s="49" t="inlineStr"/>
      <c r="O36" s="49" t="inlineStr"/>
      <c r="P36" s="47">
        <f>IF(COUNT(D36:O36)=0,"",SUM(D36:O36))</f>
        <v/>
      </c>
      <c r="Q36" s="65">
        <f>IF(P36="","",P36/$P$4)</f>
        <v/>
      </c>
      <c r="R36" s="50">
        <f>IF(Q36="","",LOOKUP(ROUND(Q36,6),Notentabelle!$C$4:$C$19,Notentabelle!$A$4:$A$19))</f>
        <v/>
      </c>
      <c r="S36" s="22">
        <f>IF(R36="","",INDEX(Notentabelle!$B$4:$B$19,R36+1))</f>
        <v/>
      </c>
      <c r="T36" s="66" t="inlineStr"/>
    </row>
    <row r="37">
      <c r="A37" s="37" t="n">
        <v>30</v>
      </c>
      <c r="B37" s="31">
        <f>IF(INDEX(Klassenliste!$B$6:$B$40,30)=0,"",INDEX(Klassenliste!$B$6:$B$40,30))</f>
        <v/>
      </c>
      <c r="C37" s="31">
        <f>IF(INDEX(Klassenliste!$C$6:$C$40,30)=0,"",INDEX(Klassenliste!$C$6:$C$40,30))</f>
        <v/>
      </c>
      <c r="D37" s="49" t="inlineStr"/>
      <c r="E37" s="49" t="inlineStr"/>
      <c r="F37" s="49" t="inlineStr"/>
      <c r="G37" s="49" t="inlineStr"/>
      <c r="H37" s="49" t="inlineStr"/>
      <c r="I37" s="49" t="inlineStr"/>
      <c r="J37" s="49" t="inlineStr"/>
      <c r="K37" s="49" t="inlineStr"/>
      <c r="L37" s="49" t="inlineStr"/>
      <c r="M37" s="49" t="inlineStr"/>
      <c r="N37" s="49" t="inlineStr"/>
      <c r="O37" s="49" t="inlineStr"/>
      <c r="P37" s="47">
        <f>IF(COUNT(D37:O37)=0,"",SUM(D37:O37))</f>
        <v/>
      </c>
      <c r="Q37" s="65">
        <f>IF(P37="","",P37/$P$4)</f>
        <v/>
      </c>
      <c r="R37" s="50">
        <f>IF(Q37="","",LOOKUP(ROUND(Q37,6),Notentabelle!$C$4:$C$19,Notentabelle!$A$4:$A$19))</f>
        <v/>
      </c>
      <c r="S37" s="22">
        <f>IF(R37="","",INDEX(Notentabelle!$B$4:$B$19,R37+1))</f>
        <v/>
      </c>
      <c r="T37" s="66" t="inlineStr"/>
    </row>
    <row r="38">
      <c r="A38" s="37" t="n">
        <v>31</v>
      </c>
      <c r="B38" s="31">
        <f>IF(INDEX(Klassenliste!$B$6:$B$40,31)=0,"",INDEX(Klassenliste!$B$6:$B$40,31))</f>
        <v/>
      </c>
      <c r="C38" s="31">
        <f>IF(INDEX(Klassenliste!$C$6:$C$40,31)=0,"",INDEX(Klassenliste!$C$6:$C$40,31))</f>
        <v/>
      </c>
      <c r="D38" s="49" t="inlineStr"/>
      <c r="E38" s="49" t="inlineStr"/>
      <c r="F38" s="49" t="inlineStr"/>
      <c r="G38" s="49" t="inlineStr"/>
      <c r="H38" s="49" t="inlineStr"/>
      <c r="I38" s="49" t="inlineStr"/>
      <c r="J38" s="49" t="inlineStr"/>
      <c r="K38" s="49" t="inlineStr"/>
      <c r="L38" s="49" t="inlineStr"/>
      <c r="M38" s="49" t="inlineStr"/>
      <c r="N38" s="49" t="inlineStr"/>
      <c r="O38" s="49" t="inlineStr"/>
      <c r="P38" s="47">
        <f>IF(COUNT(D38:O38)=0,"",SUM(D38:O38))</f>
        <v/>
      </c>
      <c r="Q38" s="65">
        <f>IF(P38="","",P38/$P$4)</f>
        <v/>
      </c>
      <c r="R38" s="50">
        <f>IF(Q38="","",LOOKUP(ROUND(Q38,6),Notentabelle!$C$4:$C$19,Notentabelle!$A$4:$A$19))</f>
        <v/>
      </c>
      <c r="S38" s="22">
        <f>IF(R38="","",INDEX(Notentabelle!$B$4:$B$19,R38+1))</f>
        <v/>
      </c>
      <c r="T38" s="66" t="inlineStr"/>
    </row>
    <row r="39">
      <c r="A39" s="37" t="n">
        <v>32</v>
      </c>
      <c r="B39" s="31">
        <f>IF(INDEX(Klassenliste!$B$6:$B$40,32)=0,"",INDEX(Klassenliste!$B$6:$B$40,32))</f>
        <v/>
      </c>
      <c r="C39" s="31">
        <f>IF(INDEX(Klassenliste!$C$6:$C$40,32)=0,"",INDEX(Klassenliste!$C$6:$C$40,32))</f>
        <v/>
      </c>
      <c r="D39" s="49" t="inlineStr"/>
      <c r="E39" s="49" t="inlineStr"/>
      <c r="F39" s="49" t="inlineStr"/>
      <c r="G39" s="49" t="inlineStr"/>
      <c r="H39" s="49" t="inlineStr"/>
      <c r="I39" s="49" t="inlineStr"/>
      <c r="J39" s="49" t="inlineStr"/>
      <c r="K39" s="49" t="inlineStr"/>
      <c r="L39" s="49" t="inlineStr"/>
      <c r="M39" s="49" t="inlineStr"/>
      <c r="N39" s="49" t="inlineStr"/>
      <c r="O39" s="49" t="inlineStr"/>
      <c r="P39" s="47">
        <f>IF(COUNT(D39:O39)=0,"",SUM(D39:O39))</f>
        <v/>
      </c>
      <c r="Q39" s="65">
        <f>IF(P39="","",P39/$P$4)</f>
        <v/>
      </c>
      <c r="R39" s="50">
        <f>IF(Q39="","",LOOKUP(ROUND(Q39,6),Notentabelle!$C$4:$C$19,Notentabelle!$A$4:$A$19))</f>
        <v/>
      </c>
      <c r="S39" s="22">
        <f>IF(R39="","",INDEX(Notentabelle!$B$4:$B$19,R39+1))</f>
        <v/>
      </c>
      <c r="T39" s="66" t="inlineStr"/>
    </row>
    <row r="40">
      <c r="A40" s="37" t="n">
        <v>33</v>
      </c>
      <c r="B40" s="31">
        <f>IF(INDEX(Klassenliste!$B$6:$B$40,33)=0,"",INDEX(Klassenliste!$B$6:$B$40,33))</f>
        <v/>
      </c>
      <c r="C40" s="31">
        <f>IF(INDEX(Klassenliste!$C$6:$C$40,33)=0,"",INDEX(Klassenliste!$C$6:$C$40,33))</f>
        <v/>
      </c>
      <c r="D40" s="49" t="inlineStr"/>
      <c r="E40" s="49" t="inlineStr"/>
      <c r="F40" s="49" t="inlineStr"/>
      <c r="G40" s="49" t="inlineStr"/>
      <c r="H40" s="49" t="inlineStr"/>
      <c r="I40" s="49" t="inlineStr"/>
      <c r="J40" s="49" t="inlineStr"/>
      <c r="K40" s="49" t="inlineStr"/>
      <c r="L40" s="49" t="inlineStr"/>
      <c r="M40" s="49" t="inlineStr"/>
      <c r="N40" s="49" t="inlineStr"/>
      <c r="O40" s="49" t="inlineStr"/>
      <c r="P40" s="47">
        <f>IF(COUNT(D40:O40)=0,"",SUM(D40:O40))</f>
        <v/>
      </c>
      <c r="Q40" s="65">
        <f>IF(P40="","",P40/$P$4)</f>
        <v/>
      </c>
      <c r="R40" s="50">
        <f>IF(Q40="","",LOOKUP(ROUND(Q40,6),Notentabelle!$C$4:$C$19,Notentabelle!$A$4:$A$19))</f>
        <v/>
      </c>
      <c r="S40" s="22">
        <f>IF(R40="","",INDEX(Notentabelle!$B$4:$B$19,R40+1))</f>
        <v/>
      </c>
      <c r="T40" s="66" t="inlineStr"/>
    </row>
    <row r="41">
      <c r="A41" s="37" t="n">
        <v>34</v>
      </c>
      <c r="B41" s="31">
        <f>IF(INDEX(Klassenliste!$B$6:$B$40,34)=0,"",INDEX(Klassenliste!$B$6:$B$40,34))</f>
        <v/>
      </c>
      <c r="C41" s="31">
        <f>IF(INDEX(Klassenliste!$C$6:$C$40,34)=0,"",INDEX(Klassenliste!$C$6:$C$40,34))</f>
        <v/>
      </c>
      <c r="D41" s="49" t="inlineStr"/>
      <c r="E41" s="49" t="inlineStr"/>
      <c r="F41" s="49" t="inlineStr"/>
      <c r="G41" s="49" t="inlineStr"/>
      <c r="H41" s="49" t="inlineStr"/>
      <c r="I41" s="49" t="inlineStr"/>
      <c r="J41" s="49" t="inlineStr"/>
      <c r="K41" s="49" t="inlineStr"/>
      <c r="L41" s="49" t="inlineStr"/>
      <c r="M41" s="49" t="inlineStr"/>
      <c r="N41" s="49" t="inlineStr"/>
      <c r="O41" s="49" t="inlineStr"/>
      <c r="P41" s="47">
        <f>IF(COUNT(D41:O41)=0,"",SUM(D41:O41))</f>
        <v/>
      </c>
      <c r="Q41" s="65">
        <f>IF(P41="","",P41/$P$4)</f>
        <v/>
      </c>
      <c r="R41" s="50">
        <f>IF(Q41="","",LOOKUP(ROUND(Q41,6),Notentabelle!$C$4:$C$19,Notentabelle!$A$4:$A$19))</f>
        <v/>
      </c>
      <c r="S41" s="22">
        <f>IF(R41="","",INDEX(Notentabelle!$B$4:$B$19,R41+1))</f>
        <v/>
      </c>
      <c r="T41" s="66" t="inlineStr"/>
    </row>
    <row r="42">
      <c r="A42" s="37" t="n">
        <v>35</v>
      </c>
      <c r="B42" s="31">
        <f>IF(INDEX(Klassenliste!$B$6:$B$40,35)=0,"",INDEX(Klassenliste!$B$6:$B$40,35))</f>
        <v/>
      </c>
      <c r="C42" s="31">
        <f>IF(INDEX(Klassenliste!$C$6:$C$40,35)=0,"",INDEX(Klassenliste!$C$6:$C$40,35))</f>
        <v/>
      </c>
      <c r="D42" s="49" t="inlineStr"/>
      <c r="E42" s="49" t="inlineStr"/>
      <c r="F42" s="49" t="inlineStr"/>
      <c r="G42" s="49" t="inlineStr"/>
      <c r="H42" s="49" t="inlineStr"/>
      <c r="I42" s="49" t="inlineStr"/>
      <c r="J42" s="49" t="inlineStr"/>
      <c r="K42" s="49" t="inlineStr"/>
      <c r="L42" s="49" t="inlineStr"/>
      <c r="M42" s="49" t="inlineStr"/>
      <c r="N42" s="49" t="inlineStr"/>
      <c r="O42" s="49" t="inlineStr"/>
      <c r="P42" s="47">
        <f>IF(COUNT(D42:O42)=0,"",SUM(D42:O42))</f>
        <v/>
      </c>
      <c r="Q42" s="65">
        <f>IF(P42="","",P42/$P$4)</f>
        <v/>
      </c>
      <c r="R42" s="50">
        <f>IF(Q42="","",LOOKUP(ROUND(Q42,6),Notentabelle!$C$4:$C$19,Notentabelle!$A$4:$A$19))</f>
        <v/>
      </c>
      <c r="S42" s="22">
        <f>IF(R42="","",INDEX(Notentabelle!$B$4:$B$19,R42+1))</f>
        <v/>
      </c>
      <c r="T42" s="66" t="inlineStr"/>
    </row>
    <row r="45">
      <c r="B45" s="53" t="inlineStr">
        <is>
          <t>Notenspiegel</t>
        </is>
      </c>
      <c r="D45" s="17" t="n">
        <v>15</v>
      </c>
      <c r="E45" s="17" t="n">
        <v>14</v>
      </c>
      <c r="F45" s="17" t="n">
        <v>13</v>
      </c>
      <c r="G45" s="17" t="n">
        <v>12</v>
      </c>
      <c r="H45" s="17" t="n">
        <v>11</v>
      </c>
      <c r="I45" s="17" t="n">
        <v>10</v>
      </c>
      <c r="J45" s="17" t="n">
        <v>9</v>
      </c>
      <c r="K45" s="17" t="n">
        <v>8</v>
      </c>
      <c r="L45" s="17" t="n">
        <v>7</v>
      </c>
      <c r="M45" s="17" t="n">
        <v>6</v>
      </c>
      <c r="N45" s="17" t="n">
        <v>5</v>
      </c>
      <c r="O45" s="17" t="n">
        <v>4</v>
      </c>
      <c r="P45" s="17" t="n">
        <v>3</v>
      </c>
      <c r="Q45" s="17" t="n">
        <v>2</v>
      </c>
      <c r="R45" s="17" t="n">
        <v>1</v>
      </c>
      <c r="S45" s="17" t="n">
        <v>0</v>
      </c>
    </row>
    <row r="46">
      <c r="D46" s="19">
        <f>COUNTIF($R$8:$R$42,15)</f>
        <v/>
      </c>
      <c r="E46" s="19">
        <f>COUNTIF($R$8:$R$42,14)</f>
        <v/>
      </c>
      <c r="F46" s="19">
        <f>COUNTIF($R$8:$R$42,13)</f>
        <v/>
      </c>
      <c r="G46" s="19">
        <f>COUNTIF($R$8:$R$42,12)</f>
        <v/>
      </c>
      <c r="H46" s="19">
        <f>COUNTIF($R$8:$R$42,11)</f>
        <v/>
      </c>
      <c r="I46" s="19">
        <f>COUNTIF($R$8:$R$42,10)</f>
        <v/>
      </c>
      <c r="J46" s="19">
        <f>COUNTIF($R$8:$R$42,9)</f>
        <v/>
      </c>
      <c r="K46" s="19">
        <f>COUNTIF($R$8:$R$42,8)</f>
        <v/>
      </c>
      <c r="L46" s="19">
        <f>COUNTIF($R$8:$R$42,7)</f>
        <v/>
      </c>
      <c r="M46" s="19">
        <f>COUNTIF($R$8:$R$42,6)</f>
        <v/>
      </c>
      <c r="N46" s="19">
        <f>COUNTIF($R$8:$R$42,5)</f>
        <v/>
      </c>
      <c r="O46" s="19">
        <f>COUNTIF($R$8:$R$42,4)</f>
        <v/>
      </c>
      <c r="P46" s="19">
        <f>COUNTIF($R$8:$R$42,3)</f>
        <v/>
      </c>
      <c r="Q46" s="19">
        <f>COUNTIF($R$8:$R$42,2)</f>
        <v/>
      </c>
      <c r="R46" s="19">
        <f>COUNTIF($R$8:$R$42,1)</f>
        <v/>
      </c>
      <c r="S46" s="19">
        <f>COUNTIF($R$8:$R$42,0)</f>
        <v/>
      </c>
    </row>
    <row r="47">
      <c r="D47" s="53" t="inlineStr">
        <is>
          <t>Defizite (unter 5 P):</t>
        </is>
      </c>
      <c r="G47" s="19">
        <f>COUNTIF($R$8:$R$42,"&lt;5")</f>
        <v/>
      </c>
      <c r="I47" s="53" t="inlineStr">
        <is>
          <t>Ø Punkte:</t>
        </is>
      </c>
      <c r="K47" s="67">
        <f>IFERROR(ROUND(AVERAGE(R8:R42),1),"")</f>
        <v/>
      </c>
    </row>
    <row r="48">
      <c r="B48" s="53" t="inlineStr">
        <is>
          <t>nach Noten</t>
        </is>
      </c>
      <c r="D48" s="17" t="inlineStr">
        <is>
          <t>Note 1</t>
        </is>
      </c>
      <c r="E48" s="17" t="inlineStr">
        <is>
          <t>Note 2</t>
        </is>
      </c>
      <c r="F48" s="17" t="inlineStr">
        <is>
          <t>Note 3</t>
        </is>
      </c>
      <c r="G48" s="17" t="inlineStr">
        <is>
          <t>Note 4</t>
        </is>
      </c>
      <c r="H48" s="17" t="inlineStr">
        <is>
          <t>Note 5</t>
        </is>
      </c>
      <c r="I48" s="17" t="inlineStr">
        <is>
          <t>Note 6</t>
        </is>
      </c>
    </row>
    <row r="49">
      <c r="D49" s="19">
        <f>COUNTIF($R$8:$R$42,"&gt;=13")</f>
        <v/>
      </c>
      <c r="E49" s="19">
        <f>COUNTIFS($R$8:$R$42,"&gt;=10",$R$8:$R$42,"&lt;=12")</f>
        <v/>
      </c>
      <c r="F49" s="19">
        <f>COUNTIFS($R$8:$R$42,"&gt;=7",$R$8:$R$42,"&lt;=9")</f>
        <v/>
      </c>
      <c r="G49" s="19">
        <f>COUNTIFS($R$8:$R$42,"&gt;=4",$R$8:$R$42,"&lt;=6")</f>
        <v/>
      </c>
      <c r="H49" s="19">
        <f>COUNTIFS($R$8:$R$42,"&gt;=1",$R$8:$R$42,"&lt;=3")</f>
        <v/>
      </c>
      <c r="I49" s="19">
        <f>COUNTIF($R$8:$R$42,0)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L2:S2"/>
    <mergeCell ref="C2:G2"/>
    <mergeCell ref="J2:K2"/>
    <mergeCell ref="A1:R1"/>
  </mergeCells>
  <conditionalFormatting sqref="D46:S46">
    <cfRule type="dataBar" priority="1">
      <dataBar showValue="1">
        <cfvo type="num" val="0"/>
        <cfvo type="max"/>
        <color rgb="0035596E"/>
      </dataBar>
    </cfRule>
  </conditionalFormatting>
  <conditionalFormatting sqref="D49:I49">
    <cfRule type="dataBar" priority="2">
      <dataBar showValue="1">
        <cfvo type="num" val="0"/>
        <cfvo type="max"/>
        <color rgb="0035596E"/>
      </dataBar>
    </cfRule>
  </conditionalFormatting>
  <conditionalFormatting sqref="A8:S42">
    <cfRule type="expression" priority="3" dxfId="1" stopIfTrue="1">
      <formula>$B8=""</formula>
    </cfRule>
  </conditionalFormatting>
  <conditionalFormatting sqref="D8:O42">
    <cfRule type="expression" priority="4" dxfId="5">
      <formula>AND(D8&lt;&gt;"",OR(NOT(ISNUMBER(D8)),D8&lt;0,D$4="",AND(ISNUMBER(D$4),D8&gt;D$4)))</formula>
    </cfRule>
    <cfRule type="expression" priority="8" dxfId="6">
      <formula>D$4=""</formula>
    </cfRule>
  </conditionalFormatting>
  <conditionalFormatting sqref="D4:O4">
    <cfRule type="expression" priority="5" dxfId="5">
      <formula>AND(D4&lt;&gt;"",NOT(ISNUMBER(D4)))</formula>
    </cfRule>
  </conditionalFormatting>
  <conditionalFormatting sqref="Q8:Q42">
    <cfRule type="expression" priority="6" dxfId="5">
      <formula>AND(ISNUMBER(Q8),OR(Q8&gt;1,Q8&lt;0))</formula>
    </cfRule>
  </conditionalFormatting>
  <conditionalFormatting sqref="R8:R42">
    <cfRule type="expression" priority="7" dxfId="2">
      <formula>AND(ISNUMBER(R8),R8&lt;5)</formula>
    </cfRule>
  </conditionalFormatting>
  <conditionalFormatting sqref="D3:O3">
    <cfRule type="expression" priority="9" dxfId="6">
      <formula>D$4=""</formula>
    </cfRule>
  </conditionalFormatting>
  <dataValidations count="2">
    <dataValidation sqref="D4:O4" showDropDown="0" showInputMessage="0" showErrorMessage="1" allowBlank="1" errorTitle="Ungültige Maximalpunkte" error="Bitte eine Zahl zwischen 0 und 999 eintragen." type="decimal" operator="between">
      <formula1>0</formula1>
      <formula2>999</formula2>
    </dataValidation>
    <dataValidation sqref="D8:O42" showDropDown="0" showInputMessage="0" showErrorMessage="1" allowBlank="1" errorTitle="Ungültige Punktzahl" error="Nur Zahlen von 0 bis zur Maximalpunktzahl dieser Aufgabe." type="custom">
      <formula1>AND(ISNUMBER(D8),D8&gt;=0,D8&lt;=D$4)</formula1>
    </dataValidation>
  </dataValidations>
  <printOptions horizontalCentered="1"/>
  <pageMargins left="0.5" right="0.5" top="0.55" bottom="0.5" header="0.5" footer="0.5"/>
  <pageSetup orientation="landscape" paperSize="9" fitToHeight="1" fitToWidth="1"/>
</worksheet>
</file>

<file path=xl/worksheets/sheet17.xml><?xml version="1.0" encoding="utf-8"?>
<worksheet xmlns="http://schemas.openxmlformats.org/spreadsheetml/2006/main">
  <sheetPr>
    <tabColor rgb="00B9C1C6"/>
    <outlinePr summaryBelow="1" summaryRight="1"/>
    <pageSetUpPr fitToPage="1"/>
  </sheetPr>
  <dimension ref="A1:N22"/>
  <sheetViews>
    <sheetView showGridLines="0" zoomScale="100" workbookViewId="0">
      <selection activeCell="A1" sqref="A1"/>
    </sheetView>
  </sheetViews>
  <sheetFormatPr baseColWidth="8" defaultRowHeight="17"/>
  <cols>
    <col width="9" customWidth="1" min="1" max="1"/>
    <col width="11" customWidth="1" min="2" max="2"/>
    <col width="9" customWidth="1" min="3" max="3"/>
    <col width="3" customWidth="1" min="4" max="4"/>
    <col width="13" customWidth="1" min="5" max="5"/>
    <col width="13" customWidth="1" min="6" max="6"/>
    <col width="13" customWidth="1" min="7" max="7"/>
    <col width="13" customWidth="1" min="8" max="8"/>
    <col width="11" customWidth="1" min="9" max="9"/>
    <col width="10" customWidth="1" min="13" max="13"/>
    <col width="8" customWidth="1" min="14" max="14"/>
  </cols>
  <sheetData>
    <row r="1" ht="26" customHeight="1">
      <c r="A1" s="1" t="inlineStr">
        <is>
          <t>Notenschlüssel Oberstufe · amtliche Zuordnung (Zentralabitur NRW)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8">
        <f>HYPERLINK("#Start!A1","⌂")</f>
        <v/>
      </c>
    </row>
    <row r="2">
      <c r="E2" s="53" t="inlineStr">
        <is>
          <t>Klausur-Gesamtpunkte:</t>
        </is>
      </c>
      <c r="F2" s="68" t="n">
        <v>72</v>
      </c>
    </row>
    <row r="3">
      <c r="A3" s="17" t="inlineStr">
        <is>
          <t>Punkte</t>
        </is>
      </c>
      <c r="B3" s="17" t="inlineStr">
        <is>
          <t>Note</t>
        </is>
      </c>
      <c r="C3" s="17" t="inlineStr">
        <is>
          <t>ab %</t>
        </is>
      </c>
      <c r="E3" s="17" t="inlineStr">
        <is>
          <t>Von (Punkte)</t>
        </is>
      </c>
      <c r="F3" s="17" t="inlineStr">
        <is>
          <t>Bis (Punkte)</t>
        </is>
      </c>
    </row>
    <row r="4">
      <c r="A4" s="19" t="n">
        <v>0</v>
      </c>
      <c r="B4" s="26" t="inlineStr">
        <is>
          <t>6</t>
        </is>
      </c>
      <c r="C4" s="69" t="n">
        <v>0</v>
      </c>
      <c r="E4" s="48">
        <f>IF($F$2="","",CEILING(C4*$F$2,0.5))</f>
        <v/>
      </c>
      <c r="F4" s="48">
        <f>IF($F$2="","",E5-0.5)</f>
        <v/>
      </c>
    </row>
    <row r="5">
      <c r="A5" s="19" t="n">
        <v>1</v>
      </c>
      <c r="B5" s="26" t="inlineStr">
        <is>
          <t>5-</t>
        </is>
      </c>
      <c r="C5" s="69" t="n">
        <v>0.2</v>
      </c>
      <c r="E5" s="48">
        <f>IF($F$2="","",CEILING(C5*$F$2,0.5))</f>
        <v/>
      </c>
      <c r="F5" s="48">
        <f>IF($F$2="","",E6-0.5)</f>
        <v/>
      </c>
    </row>
    <row r="6">
      <c r="A6" s="19" t="n">
        <v>2</v>
      </c>
      <c r="B6" s="26" t="inlineStr">
        <is>
          <t>5</t>
        </is>
      </c>
      <c r="C6" s="69" t="n">
        <v>0.27</v>
      </c>
      <c r="E6" s="48">
        <f>IF($F$2="","",CEILING(C6*$F$2,0.5))</f>
        <v/>
      </c>
      <c r="F6" s="48">
        <f>IF($F$2="","",E7-0.5)</f>
        <v/>
      </c>
    </row>
    <row r="7">
      <c r="A7" s="19" t="n">
        <v>3</v>
      </c>
      <c r="B7" s="26" t="inlineStr">
        <is>
          <t>5+</t>
        </is>
      </c>
      <c r="C7" s="69" t="n">
        <v>0.33</v>
      </c>
      <c r="E7" s="48">
        <f>IF($F$2="","",CEILING(C7*$F$2,0.5))</f>
        <v/>
      </c>
      <c r="F7" s="48">
        <f>IF($F$2="","",E8-0.5)</f>
        <v/>
      </c>
    </row>
    <row r="8">
      <c r="A8" s="19" t="n">
        <v>4</v>
      </c>
      <c r="B8" s="26" t="inlineStr">
        <is>
          <t>4-</t>
        </is>
      </c>
      <c r="C8" s="69" t="n">
        <v>0.39</v>
      </c>
      <c r="E8" s="48">
        <f>IF($F$2="","",CEILING(C8*$F$2,0.5))</f>
        <v/>
      </c>
      <c r="F8" s="48">
        <f>IF($F$2="","",E9-0.5)</f>
        <v/>
      </c>
    </row>
    <row r="9">
      <c r="A9" s="19" t="n">
        <v>5</v>
      </c>
      <c r="B9" s="26" t="inlineStr">
        <is>
          <t>4</t>
        </is>
      </c>
      <c r="C9" s="69" t="n">
        <v>0.45</v>
      </c>
      <c r="E9" s="48">
        <f>IF($F$2="","",CEILING(C9*$F$2,0.5))</f>
        <v/>
      </c>
      <c r="F9" s="48">
        <f>IF($F$2="","",E10-0.5)</f>
        <v/>
      </c>
    </row>
    <row r="10">
      <c r="A10" s="19" t="n">
        <v>6</v>
      </c>
      <c r="B10" s="26" t="inlineStr">
        <is>
          <t>4+</t>
        </is>
      </c>
      <c r="C10" s="69" t="n">
        <v>0.5</v>
      </c>
      <c r="E10" s="48">
        <f>IF($F$2="","",CEILING(C10*$F$2,0.5))</f>
        <v/>
      </c>
      <c r="F10" s="48">
        <f>IF($F$2="","",E11-0.5)</f>
        <v/>
      </c>
    </row>
    <row r="11">
      <c r="A11" s="19" t="n">
        <v>7</v>
      </c>
      <c r="B11" s="26" t="inlineStr">
        <is>
          <t>3-</t>
        </is>
      </c>
      <c r="C11" s="69" t="n">
        <v>0.55</v>
      </c>
      <c r="E11" s="48">
        <f>IF($F$2="","",CEILING(C11*$F$2,0.5))</f>
        <v/>
      </c>
      <c r="F11" s="48">
        <f>IF($F$2="","",E12-0.5)</f>
        <v/>
      </c>
    </row>
    <row r="12">
      <c r="A12" s="19" t="n">
        <v>8</v>
      </c>
      <c r="B12" s="26" t="inlineStr">
        <is>
          <t>3</t>
        </is>
      </c>
      <c r="C12" s="69" t="n">
        <v>0.6</v>
      </c>
      <c r="E12" s="48">
        <f>IF($F$2="","",CEILING(C12*$F$2,0.5))</f>
        <v/>
      </c>
      <c r="F12" s="48">
        <f>IF($F$2="","",E13-0.5)</f>
        <v/>
      </c>
    </row>
    <row r="13">
      <c r="A13" s="19" t="n">
        <v>9</v>
      </c>
      <c r="B13" s="26" t="inlineStr">
        <is>
          <t>3+</t>
        </is>
      </c>
      <c r="C13" s="69" t="n">
        <v>0.65</v>
      </c>
      <c r="E13" s="48">
        <f>IF($F$2="","",CEILING(C13*$F$2,0.5))</f>
        <v/>
      </c>
      <c r="F13" s="48">
        <f>IF($F$2="","",E14-0.5)</f>
        <v/>
      </c>
    </row>
    <row r="14">
      <c r="A14" s="19" t="n">
        <v>10</v>
      </c>
      <c r="B14" s="26" t="inlineStr">
        <is>
          <t>2-</t>
        </is>
      </c>
      <c r="C14" s="69" t="n">
        <v>0.7</v>
      </c>
      <c r="E14" s="48">
        <f>IF($F$2="","",CEILING(C14*$F$2,0.5))</f>
        <v/>
      </c>
      <c r="F14" s="48">
        <f>IF($F$2="","",E15-0.5)</f>
        <v/>
      </c>
    </row>
    <row r="15">
      <c r="A15" s="19" t="n">
        <v>11</v>
      </c>
      <c r="B15" s="26" t="inlineStr">
        <is>
          <t>2</t>
        </is>
      </c>
      <c r="C15" s="69" t="n">
        <v>0.75</v>
      </c>
      <c r="E15" s="48">
        <f>IF($F$2="","",CEILING(C15*$F$2,0.5))</f>
        <v/>
      </c>
      <c r="F15" s="48">
        <f>IF($F$2="","",E16-0.5)</f>
        <v/>
      </c>
    </row>
    <row r="16">
      <c r="A16" s="19" t="n">
        <v>12</v>
      </c>
      <c r="B16" s="26" t="inlineStr">
        <is>
          <t>2+</t>
        </is>
      </c>
      <c r="C16" s="69" t="n">
        <v>0.8</v>
      </c>
      <c r="E16" s="48">
        <f>IF($F$2="","",CEILING(C16*$F$2,0.5))</f>
        <v/>
      </c>
      <c r="F16" s="48">
        <f>IF($F$2="","",E17-0.5)</f>
        <v/>
      </c>
    </row>
    <row r="17">
      <c r="A17" s="19" t="n">
        <v>13</v>
      </c>
      <c r="B17" s="26" t="inlineStr">
        <is>
          <t>1-</t>
        </is>
      </c>
      <c r="C17" s="69" t="n">
        <v>0.85</v>
      </c>
      <c r="E17" s="48">
        <f>IF($F$2="","",CEILING(C17*$F$2,0.5))</f>
        <v/>
      </c>
      <c r="F17" s="48">
        <f>IF($F$2="","",E18-0.5)</f>
        <v/>
      </c>
    </row>
    <row r="18">
      <c r="A18" s="19" t="n">
        <v>14</v>
      </c>
      <c r="B18" s="26" t="inlineStr">
        <is>
          <t>1</t>
        </is>
      </c>
      <c r="C18" s="69" t="n">
        <v>0.9</v>
      </c>
      <c r="E18" s="48">
        <f>IF($F$2="","",CEILING(C18*$F$2,0.5))</f>
        <v/>
      </c>
      <c r="F18" s="48">
        <f>IF($F$2="","",E19-0.5)</f>
        <v/>
      </c>
    </row>
    <row r="19">
      <c r="A19" s="19" t="n">
        <v>15</v>
      </c>
      <c r="B19" s="26" t="inlineStr">
        <is>
          <t>1+</t>
        </is>
      </c>
      <c r="C19" s="69" t="n">
        <v>0.95</v>
      </c>
      <c r="E19" s="48">
        <f>IF($F$2="","",CEILING(C19*$F$2,0.5))</f>
        <v/>
      </c>
      <c r="F19" s="48">
        <f>IF($F$2="","",$F$2)</f>
        <v/>
      </c>
    </row>
    <row r="21">
      <c r="A21" s="12" t="inlineStr">
        <is>
          <t>Quelle: Zuordnung Notenstufen–Punktzahlen, Zentralabitur NRW (5 P. ab 45 %, 4 P. ab 39 %, 1 P. ab 20 %, 0 P. unter 20 %).</t>
        </is>
      </c>
    </row>
    <row r="22">
      <c r="A22" s="12" t="inlineStr">
        <is>
          <t>Die ab-%-Spalte ist bewusst editierbar, falls die Fachkonferenz abweicht.</t>
        </is>
      </c>
    </row>
  </sheetData>
  <sheetProtection selectLockedCells="0" selectUnlockedCells="0" sheet="1" objects="0" insertRows="1" insertHyperlinks="1" autoFilter="1" scenarios="0" formatColumns="0" deleteColumns="1" insertColumns="0" pivotTables="1" deleteRows="1" formatCells="1" formatRows="0" sort="1"/>
  <mergeCells count="1">
    <mergeCell ref="A1:M1"/>
  </mergeCells>
  <printOptions horizontalCentered="1"/>
  <pageMargins left="0.5" right="0.5" top="0.55" bottom="0.5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tabColor rgb="00808080"/>
    <outlinePr summaryBelow="1" summaryRight="1"/>
    <pageSetUpPr/>
  </sheetPr>
  <dimension ref="A1:R39"/>
  <sheetViews>
    <sheetView showGridLines="0" zoomScale="100" workbookViewId="0">
      <selection activeCell="A1" sqref="A1"/>
    </sheetView>
  </sheetViews>
  <sheetFormatPr baseColWidth="8" defaultRowHeight="17"/>
  <sheetData>
    <row r="1">
      <c r="A1" s="19">
        <f>'Rückmeldebogen'!$C$2</f>
        <v/>
      </c>
    </row>
    <row r="2">
      <c r="A2" s="26">
        <f>IF($A$1="","",CHOOSE($A$1,KA1!$J$2,KA2!$J$2,KA3!$J$2,KA4!$J$2,KA5!$J$2,KA6!$J$2))</f>
        <v/>
      </c>
      <c r="B2" s="26">
        <f>IF($A$1="","",CHOOSE($A$1,KA1!D$3,KA2!D$3,KA3!D$3,KA4!D$3,KA5!D$3,KA6!D$3))</f>
        <v/>
      </c>
      <c r="C2" s="26">
        <f>IF($A$1="","",CHOOSE($A$1,KA1!E$3,KA2!E$3,KA3!E$3,KA4!E$3,KA5!E$3,KA6!E$3))</f>
        <v/>
      </c>
      <c r="D2" s="26">
        <f>IF($A$1="","",CHOOSE($A$1,KA1!F$3,KA2!F$3,KA3!F$3,KA4!F$3,KA5!F$3,KA6!F$3))</f>
        <v/>
      </c>
      <c r="E2" s="26">
        <f>IF($A$1="","",CHOOSE($A$1,KA1!G$3,KA2!G$3,KA3!G$3,KA4!G$3,KA5!G$3,KA6!G$3))</f>
        <v/>
      </c>
      <c r="F2" s="26">
        <f>IF($A$1="","",CHOOSE($A$1,KA1!H$3,KA2!H$3,KA3!H$3,KA4!H$3,KA5!H$3,KA6!H$3))</f>
        <v/>
      </c>
      <c r="G2" s="26">
        <f>IF($A$1="","",CHOOSE($A$1,KA1!I$3,KA2!I$3,KA3!I$3,KA4!I$3,KA5!I$3,KA6!I$3))</f>
        <v/>
      </c>
      <c r="H2" s="26">
        <f>IF($A$1="","",CHOOSE($A$1,KA1!J$3,KA2!J$3,KA3!J$3,KA4!J$3,KA5!J$3,KA6!J$3))</f>
        <v/>
      </c>
      <c r="I2" s="26">
        <f>IF($A$1="","",CHOOSE($A$1,KA1!K$3,KA2!K$3,KA3!K$3,KA4!K$3,KA5!K$3,KA6!K$3))</f>
        <v/>
      </c>
      <c r="J2" s="26">
        <f>IF($A$1="","",CHOOSE($A$1,KA1!L$3,KA2!L$3,KA3!L$3,KA4!L$3,KA5!L$3,KA6!L$3))</f>
        <v/>
      </c>
      <c r="K2" s="26">
        <f>IF($A$1="","",CHOOSE($A$1,KA1!M$3,KA2!M$3,KA3!M$3,KA4!M$3,KA5!M$3,KA6!M$3))</f>
        <v/>
      </c>
      <c r="L2" s="26">
        <f>IF($A$1="","",CHOOSE($A$1,KA1!N$3,KA2!N$3,KA3!N$3,KA4!N$3,KA5!N$3,KA6!N$3))</f>
        <v/>
      </c>
      <c r="M2" s="26">
        <f>IF($A$1="","",CHOOSE($A$1,KA1!O$3,KA2!O$3,KA3!O$3,KA4!O$3,KA5!O$3,KA6!O$3))</f>
        <v/>
      </c>
    </row>
    <row r="3">
      <c r="A3" s="26">
        <f>IF($A$1="","",CHOOSE($A$1,KA1!$C$2,KA2!$C$2,KA3!$C$2,KA4!$C$2,KA5!$C$2,KA6!$C$2))</f>
        <v/>
      </c>
      <c r="B3" s="48">
        <f>IF($A$1="","",CHOOSE($A$1,KA1!D$4,KA2!D$4,KA3!D$4,KA4!D$4,KA5!D$4,KA6!D$4))</f>
        <v/>
      </c>
      <c r="C3" s="48">
        <f>IF($A$1="","",CHOOSE($A$1,KA1!E$4,KA2!E$4,KA3!E$4,KA4!E$4,KA5!E$4,KA6!E$4))</f>
        <v/>
      </c>
      <c r="D3" s="48">
        <f>IF($A$1="","",CHOOSE($A$1,KA1!F$4,KA2!F$4,KA3!F$4,KA4!F$4,KA5!F$4,KA6!F$4))</f>
        <v/>
      </c>
      <c r="E3" s="48">
        <f>IF($A$1="","",CHOOSE($A$1,KA1!G$4,KA2!G$4,KA3!G$4,KA4!G$4,KA5!G$4,KA6!G$4))</f>
        <v/>
      </c>
      <c r="F3" s="48">
        <f>IF($A$1="","",CHOOSE($A$1,KA1!H$4,KA2!H$4,KA3!H$4,KA4!H$4,KA5!H$4,KA6!H$4))</f>
        <v/>
      </c>
      <c r="G3" s="48">
        <f>IF($A$1="","",CHOOSE($A$1,KA1!I$4,KA2!I$4,KA3!I$4,KA4!I$4,KA5!I$4,KA6!I$4))</f>
        <v/>
      </c>
      <c r="H3" s="48">
        <f>IF($A$1="","",CHOOSE($A$1,KA1!J$4,KA2!J$4,KA3!J$4,KA4!J$4,KA5!J$4,KA6!J$4))</f>
        <v/>
      </c>
      <c r="I3" s="48">
        <f>IF($A$1="","",CHOOSE($A$1,KA1!K$4,KA2!K$4,KA3!K$4,KA4!K$4,KA5!K$4,KA6!K$4))</f>
        <v/>
      </c>
      <c r="J3" s="48">
        <f>IF($A$1="","",CHOOSE($A$1,KA1!L$4,KA2!L$4,KA3!L$4,KA4!L$4,KA5!L$4,KA6!L$4))</f>
        <v/>
      </c>
      <c r="K3" s="48">
        <f>IF($A$1="","",CHOOSE($A$1,KA1!M$4,KA2!M$4,KA3!M$4,KA4!M$4,KA5!M$4,KA6!M$4))</f>
        <v/>
      </c>
      <c r="L3" s="48">
        <f>IF($A$1="","",CHOOSE($A$1,KA1!N$4,KA2!N$4,KA3!N$4,KA4!N$4,KA5!N$4,KA6!N$4))</f>
        <v/>
      </c>
      <c r="M3" s="48">
        <f>IF($A$1="","",CHOOSE($A$1,KA1!O$4,KA2!O$4,KA3!O$4,KA4!O$4,KA5!O$4,KA6!O$4))</f>
        <v/>
      </c>
    </row>
    <row r="4">
      <c r="A4" s="26">
        <f>IF($A$1="","",CHOOSE($A$1,KA1!$P$4,KA2!$P$4,KA3!$P$4,KA4!$P$4,KA5!$P$4,KA6!$P$4))</f>
        <v/>
      </c>
    </row>
    <row r="5">
      <c r="B5" s="48">
        <f>IF($A$1="","",CHOOSE($A$1,KA1!D8,KA2!D8,KA3!D8,KA4!D8,KA5!D8,KA6!D8))</f>
        <v/>
      </c>
      <c r="C5" s="48">
        <f>IF($A$1="","",CHOOSE($A$1,KA1!E8,KA2!E8,KA3!E8,KA4!E8,KA5!E8,KA6!E8))</f>
        <v/>
      </c>
      <c r="D5" s="48">
        <f>IF($A$1="","",CHOOSE($A$1,KA1!F8,KA2!F8,KA3!F8,KA4!F8,KA5!F8,KA6!F8))</f>
        <v/>
      </c>
      <c r="E5" s="48">
        <f>IF($A$1="","",CHOOSE($A$1,KA1!G8,KA2!G8,KA3!G8,KA4!G8,KA5!G8,KA6!G8))</f>
        <v/>
      </c>
      <c r="F5" s="48">
        <f>IF($A$1="","",CHOOSE($A$1,KA1!H8,KA2!H8,KA3!H8,KA4!H8,KA5!H8,KA6!H8))</f>
        <v/>
      </c>
      <c r="G5" s="48">
        <f>IF($A$1="","",CHOOSE($A$1,KA1!I8,KA2!I8,KA3!I8,KA4!I8,KA5!I8,KA6!I8))</f>
        <v/>
      </c>
      <c r="H5" s="48">
        <f>IF($A$1="","",CHOOSE($A$1,KA1!J8,KA2!J8,KA3!J8,KA4!J8,KA5!J8,KA6!J8))</f>
        <v/>
      </c>
      <c r="I5" s="48">
        <f>IF($A$1="","",CHOOSE($A$1,KA1!K8,KA2!K8,KA3!K8,KA4!K8,KA5!K8,KA6!K8))</f>
        <v/>
      </c>
      <c r="J5" s="48">
        <f>IF($A$1="","",CHOOSE($A$1,KA1!L8,KA2!L8,KA3!L8,KA4!L8,KA5!L8,KA6!L8))</f>
        <v/>
      </c>
      <c r="K5" s="48">
        <f>IF($A$1="","",CHOOSE($A$1,KA1!M8,KA2!M8,KA3!M8,KA4!M8,KA5!M8,KA6!M8))</f>
        <v/>
      </c>
      <c r="L5" s="48">
        <f>IF($A$1="","",CHOOSE($A$1,KA1!N8,KA2!N8,KA3!N8,KA4!N8,KA5!N8,KA6!N8))</f>
        <v/>
      </c>
      <c r="M5" s="48">
        <f>IF($A$1="","",CHOOSE($A$1,KA1!O8,KA2!O8,KA3!O8,KA4!O8,KA5!O8,KA6!O8))</f>
        <v/>
      </c>
      <c r="N5" s="48">
        <f>IF($A$1="","",CHOOSE($A$1,KA1!P8,KA2!P8,KA3!P8,KA4!P8,KA5!P8,KA6!P8))</f>
        <v/>
      </c>
      <c r="O5" s="65">
        <f>IF($A$1="","",CHOOSE($A$1,KA1!Q8,KA2!Q8,KA3!Q8,KA4!Q8,KA5!Q8,KA6!Q8))</f>
        <v/>
      </c>
      <c r="P5" s="19">
        <f>IF($A$1="","",CHOOSE($A$1,KA1!R8,KA2!R8,KA3!R8,KA4!R8,KA5!R8,KA6!R8))</f>
        <v/>
      </c>
      <c r="Q5" s="26">
        <f>IF($A$1="","",CHOOSE($A$1,KA1!S8,KA2!S8,KA3!S8,KA4!S8,KA5!S8,KA6!S8))</f>
        <v/>
      </c>
      <c r="R5" s="26">
        <f>IF($A$1="","",T(CHOOSE($A$1,KA1!$T$8,KA2!$T$8,KA3!$T$8,KA4!$T$8,KA5!$T$8,KA6!$T$8)))</f>
        <v/>
      </c>
    </row>
    <row r="6">
      <c r="B6" s="48">
        <f>IF($A$1="","",CHOOSE($A$1,KA1!D9,KA2!D9,KA3!D9,KA4!D9,KA5!D9,KA6!D9))</f>
        <v/>
      </c>
      <c r="C6" s="48">
        <f>IF($A$1="","",CHOOSE($A$1,KA1!E9,KA2!E9,KA3!E9,KA4!E9,KA5!E9,KA6!E9))</f>
        <v/>
      </c>
      <c r="D6" s="48">
        <f>IF($A$1="","",CHOOSE($A$1,KA1!F9,KA2!F9,KA3!F9,KA4!F9,KA5!F9,KA6!F9))</f>
        <v/>
      </c>
      <c r="E6" s="48">
        <f>IF($A$1="","",CHOOSE($A$1,KA1!G9,KA2!G9,KA3!G9,KA4!G9,KA5!G9,KA6!G9))</f>
        <v/>
      </c>
      <c r="F6" s="48">
        <f>IF($A$1="","",CHOOSE($A$1,KA1!H9,KA2!H9,KA3!H9,KA4!H9,KA5!H9,KA6!H9))</f>
        <v/>
      </c>
      <c r="G6" s="48">
        <f>IF($A$1="","",CHOOSE($A$1,KA1!I9,KA2!I9,KA3!I9,KA4!I9,KA5!I9,KA6!I9))</f>
        <v/>
      </c>
      <c r="H6" s="48">
        <f>IF($A$1="","",CHOOSE($A$1,KA1!J9,KA2!J9,KA3!J9,KA4!J9,KA5!J9,KA6!J9))</f>
        <v/>
      </c>
      <c r="I6" s="48">
        <f>IF($A$1="","",CHOOSE($A$1,KA1!K9,KA2!K9,KA3!K9,KA4!K9,KA5!K9,KA6!K9))</f>
        <v/>
      </c>
      <c r="J6" s="48">
        <f>IF($A$1="","",CHOOSE($A$1,KA1!L9,KA2!L9,KA3!L9,KA4!L9,KA5!L9,KA6!L9))</f>
        <v/>
      </c>
      <c r="K6" s="48">
        <f>IF($A$1="","",CHOOSE($A$1,KA1!M9,KA2!M9,KA3!M9,KA4!M9,KA5!M9,KA6!M9))</f>
        <v/>
      </c>
      <c r="L6" s="48">
        <f>IF($A$1="","",CHOOSE($A$1,KA1!N9,KA2!N9,KA3!N9,KA4!N9,KA5!N9,KA6!N9))</f>
        <v/>
      </c>
      <c r="M6" s="48">
        <f>IF($A$1="","",CHOOSE($A$1,KA1!O9,KA2!O9,KA3!O9,KA4!O9,KA5!O9,KA6!O9))</f>
        <v/>
      </c>
      <c r="N6" s="48">
        <f>IF($A$1="","",CHOOSE($A$1,KA1!P9,KA2!P9,KA3!P9,KA4!P9,KA5!P9,KA6!P9))</f>
        <v/>
      </c>
      <c r="O6" s="65">
        <f>IF($A$1="","",CHOOSE($A$1,KA1!Q9,KA2!Q9,KA3!Q9,KA4!Q9,KA5!Q9,KA6!Q9))</f>
        <v/>
      </c>
      <c r="P6" s="19">
        <f>IF($A$1="","",CHOOSE($A$1,KA1!R9,KA2!R9,KA3!R9,KA4!R9,KA5!R9,KA6!R9))</f>
        <v/>
      </c>
      <c r="Q6" s="26">
        <f>IF($A$1="","",CHOOSE($A$1,KA1!S9,KA2!S9,KA3!S9,KA4!S9,KA5!S9,KA6!S9))</f>
        <v/>
      </c>
      <c r="R6" s="26">
        <f>IF($A$1="","",T(CHOOSE($A$1,KA1!$T$9,KA2!$T$9,KA3!$T$9,KA4!$T$9,KA5!$T$9,KA6!$T$9)))</f>
        <v/>
      </c>
    </row>
    <row r="7">
      <c r="B7" s="48">
        <f>IF($A$1="","",CHOOSE($A$1,KA1!D10,KA2!D10,KA3!D10,KA4!D10,KA5!D10,KA6!D10))</f>
        <v/>
      </c>
      <c r="C7" s="48">
        <f>IF($A$1="","",CHOOSE($A$1,KA1!E10,KA2!E10,KA3!E10,KA4!E10,KA5!E10,KA6!E10))</f>
        <v/>
      </c>
      <c r="D7" s="48">
        <f>IF($A$1="","",CHOOSE($A$1,KA1!F10,KA2!F10,KA3!F10,KA4!F10,KA5!F10,KA6!F10))</f>
        <v/>
      </c>
      <c r="E7" s="48">
        <f>IF($A$1="","",CHOOSE($A$1,KA1!G10,KA2!G10,KA3!G10,KA4!G10,KA5!G10,KA6!G10))</f>
        <v/>
      </c>
      <c r="F7" s="48">
        <f>IF($A$1="","",CHOOSE($A$1,KA1!H10,KA2!H10,KA3!H10,KA4!H10,KA5!H10,KA6!H10))</f>
        <v/>
      </c>
      <c r="G7" s="48">
        <f>IF($A$1="","",CHOOSE($A$1,KA1!I10,KA2!I10,KA3!I10,KA4!I10,KA5!I10,KA6!I10))</f>
        <v/>
      </c>
      <c r="H7" s="48">
        <f>IF($A$1="","",CHOOSE($A$1,KA1!J10,KA2!J10,KA3!J10,KA4!J10,KA5!J10,KA6!J10))</f>
        <v/>
      </c>
      <c r="I7" s="48">
        <f>IF($A$1="","",CHOOSE($A$1,KA1!K10,KA2!K10,KA3!K10,KA4!K10,KA5!K10,KA6!K10))</f>
        <v/>
      </c>
      <c r="J7" s="48">
        <f>IF($A$1="","",CHOOSE($A$1,KA1!L10,KA2!L10,KA3!L10,KA4!L10,KA5!L10,KA6!L10))</f>
        <v/>
      </c>
      <c r="K7" s="48">
        <f>IF($A$1="","",CHOOSE($A$1,KA1!M10,KA2!M10,KA3!M10,KA4!M10,KA5!M10,KA6!M10))</f>
        <v/>
      </c>
      <c r="L7" s="48">
        <f>IF($A$1="","",CHOOSE($A$1,KA1!N10,KA2!N10,KA3!N10,KA4!N10,KA5!N10,KA6!N10))</f>
        <v/>
      </c>
      <c r="M7" s="48">
        <f>IF($A$1="","",CHOOSE($A$1,KA1!O10,KA2!O10,KA3!O10,KA4!O10,KA5!O10,KA6!O10))</f>
        <v/>
      </c>
      <c r="N7" s="48">
        <f>IF($A$1="","",CHOOSE($A$1,KA1!P10,KA2!P10,KA3!P10,KA4!P10,KA5!P10,KA6!P10))</f>
        <v/>
      </c>
      <c r="O7" s="65">
        <f>IF($A$1="","",CHOOSE($A$1,KA1!Q10,KA2!Q10,KA3!Q10,KA4!Q10,KA5!Q10,KA6!Q10))</f>
        <v/>
      </c>
      <c r="P7" s="19">
        <f>IF($A$1="","",CHOOSE($A$1,KA1!R10,KA2!R10,KA3!R10,KA4!R10,KA5!R10,KA6!R10))</f>
        <v/>
      </c>
      <c r="Q7" s="26">
        <f>IF($A$1="","",CHOOSE($A$1,KA1!S10,KA2!S10,KA3!S10,KA4!S10,KA5!S10,KA6!S10))</f>
        <v/>
      </c>
      <c r="R7" s="26">
        <f>IF($A$1="","",T(CHOOSE($A$1,KA1!$T$10,KA2!$T$10,KA3!$T$10,KA4!$T$10,KA5!$T$10,KA6!$T$10)))</f>
        <v/>
      </c>
    </row>
    <row r="8">
      <c r="B8" s="48">
        <f>IF($A$1="","",CHOOSE($A$1,KA1!D11,KA2!D11,KA3!D11,KA4!D11,KA5!D11,KA6!D11))</f>
        <v/>
      </c>
      <c r="C8" s="48">
        <f>IF($A$1="","",CHOOSE($A$1,KA1!E11,KA2!E11,KA3!E11,KA4!E11,KA5!E11,KA6!E11))</f>
        <v/>
      </c>
      <c r="D8" s="48">
        <f>IF($A$1="","",CHOOSE($A$1,KA1!F11,KA2!F11,KA3!F11,KA4!F11,KA5!F11,KA6!F11))</f>
        <v/>
      </c>
      <c r="E8" s="48">
        <f>IF($A$1="","",CHOOSE($A$1,KA1!G11,KA2!G11,KA3!G11,KA4!G11,KA5!G11,KA6!G11))</f>
        <v/>
      </c>
      <c r="F8" s="48">
        <f>IF($A$1="","",CHOOSE($A$1,KA1!H11,KA2!H11,KA3!H11,KA4!H11,KA5!H11,KA6!H11))</f>
        <v/>
      </c>
      <c r="G8" s="48">
        <f>IF($A$1="","",CHOOSE($A$1,KA1!I11,KA2!I11,KA3!I11,KA4!I11,KA5!I11,KA6!I11))</f>
        <v/>
      </c>
      <c r="H8" s="48">
        <f>IF($A$1="","",CHOOSE($A$1,KA1!J11,KA2!J11,KA3!J11,KA4!J11,KA5!J11,KA6!J11))</f>
        <v/>
      </c>
      <c r="I8" s="48">
        <f>IF($A$1="","",CHOOSE($A$1,KA1!K11,KA2!K11,KA3!K11,KA4!K11,KA5!K11,KA6!K11))</f>
        <v/>
      </c>
      <c r="J8" s="48">
        <f>IF($A$1="","",CHOOSE($A$1,KA1!L11,KA2!L11,KA3!L11,KA4!L11,KA5!L11,KA6!L11))</f>
        <v/>
      </c>
      <c r="K8" s="48">
        <f>IF($A$1="","",CHOOSE($A$1,KA1!M11,KA2!M11,KA3!M11,KA4!M11,KA5!M11,KA6!M11))</f>
        <v/>
      </c>
      <c r="L8" s="48">
        <f>IF($A$1="","",CHOOSE($A$1,KA1!N11,KA2!N11,KA3!N11,KA4!N11,KA5!N11,KA6!N11))</f>
        <v/>
      </c>
      <c r="M8" s="48">
        <f>IF($A$1="","",CHOOSE($A$1,KA1!O11,KA2!O11,KA3!O11,KA4!O11,KA5!O11,KA6!O11))</f>
        <v/>
      </c>
      <c r="N8" s="48">
        <f>IF($A$1="","",CHOOSE($A$1,KA1!P11,KA2!P11,KA3!P11,KA4!P11,KA5!P11,KA6!P11))</f>
        <v/>
      </c>
      <c r="O8" s="65">
        <f>IF($A$1="","",CHOOSE($A$1,KA1!Q11,KA2!Q11,KA3!Q11,KA4!Q11,KA5!Q11,KA6!Q11))</f>
        <v/>
      </c>
      <c r="P8" s="19">
        <f>IF($A$1="","",CHOOSE($A$1,KA1!R11,KA2!R11,KA3!R11,KA4!R11,KA5!R11,KA6!R11))</f>
        <v/>
      </c>
      <c r="Q8" s="26">
        <f>IF($A$1="","",CHOOSE($A$1,KA1!S11,KA2!S11,KA3!S11,KA4!S11,KA5!S11,KA6!S11))</f>
        <v/>
      </c>
      <c r="R8" s="26">
        <f>IF($A$1="","",T(CHOOSE($A$1,KA1!$T$11,KA2!$T$11,KA3!$T$11,KA4!$T$11,KA5!$T$11,KA6!$T$11)))</f>
        <v/>
      </c>
    </row>
    <row r="9">
      <c r="B9" s="48">
        <f>IF($A$1="","",CHOOSE($A$1,KA1!D12,KA2!D12,KA3!D12,KA4!D12,KA5!D12,KA6!D12))</f>
        <v/>
      </c>
      <c r="C9" s="48">
        <f>IF($A$1="","",CHOOSE($A$1,KA1!E12,KA2!E12,KA3!E12,KA4!E12,KA5!E12,KA6!E12))</f>
        <v/>
      </c>
      <c r="D9" s="48">
        <f>IF($A$1="","",CHOOSE($A$1,KA1!F12,KA2!F12,KA3!F12,KA4!F12,KA5!F12,KA6!F12))</f>
        <v/>
      </c>
      <c r="E9" s="48">
        <f>IF($A$1="","",CHOOSE($A$1,KA1!G12,KA2!G12,KA3!G12,KA4!G12,KA5!G12,KA6!G12))</f>
        <v/>
      </c>
      <c r="F9" s="48">
        <f>IF($A$1="","",CHOOSE($A$1,KA1!H12,KA2!H12,KA3!H12,KA4!H12,KA5!H12,KA6!H12))</f>
        <v/>
      </c>
      <c r="G9" s="48">
        <f>IF($A$1="","",CHOOSE($A$1,KA1!I12,KA2!I12,KA3!I12,KA4!I12,KA5!I12,KA6!I12))</f>
        <v/>
      </c>
      <c r="H9" s="48">
        <f>IF($A$1="","",CHOOSE($A$1,KA1!J12,KA2!J12,KA3!J12,KA4!J12,KA5!J12,KA6!J12))</f>
        <v/>
      </c>
      <c r="I9" s="48">
        <f>IF($A$1="","",CHOOSE($A$1,KA1!K12,KA2!K12,KA3!K12,KA4!K12,KA5!K12,KA6!K12))</f>
        <v/>
      </c>
      <c r="J9" s="48">
        <f>IF($A$1="","",CHOOSE($A$1,KA1!L12,KA2!L12,KA3!L12,KA4!L12,KA5!L12,KA6!L12))</f>
        <v/>
      </c>
      <c r="K9" s="48">
        <f>IF($A$1="","",CHOOSE($A$1,KA1!M12,KA2!M12,KA3!M12,KA4!M12,KA5!M12,KA6!M12))</f>
        <v/>
      </c>
      <c r="L9" s="48">
        <f>IF($A$1="","",CHOOSE($A$1,KA1!N12,KA2!N12,KA3!N12,KA4!N12,KA5!N12,KA6!N12))</f>
        <v/>
      </c>
      <c r="M9" s="48">
        <f>IF($A$1="","",CHOOSE($A$1,KA1!O12,KA2!O12,KA3!O12,KA4!O12,KA5!O12,KA6!O12))</f>
        <v/>
      </c>
      <c r="N9" s="48">
        <f>IF($A$1="","",CHOOSE($A$1,KA1!P12,KA2!P12,KA3!P12,KA4!P12,KA5!P12,KA6!P12))</f>
        <v/>
      </c>
      <c r="O9" s="65">
        <f>IF($A$1="","",CHOOSE($A$1,KA1!Q12,KA2!Q12,KA3!Q12,KA4!Q12,KA5!Q12,KA6!Q12))</f>
        <v/>
      </c>
      <c r="P9" s="19">
        <f>IF($A$1="","",CHOOSE($A$1,KA1!R12,KA2!R12,KA3!R12,KA4!R12,KA5!R12,KA6!R12))</f>
        <v/>
      </c>
      <c r="Q9" s="26">
        <f>IF($A$1="","",CHOOSE($A$1,KA1!S12,KA2!S12,KA3!S12,KA4!S12,KA5!S12,KA6!S12))</f>
        <v/>
      </c>
      <c r="R9" s="26">
        <f>IF($A$1="","",T(CHOOSE($A$1,KA1!$T$12,KA2!$T$12,KA3!$T$12,KA4!$T$12,KA5!$T$12,KA6!$T$12)))</f>
        <v/>
      </c>
    </row>
    <row r="10">
      <c r="B10" s="48">
        <f>IF($A$1="","",CHOOSE($A$1,KA1!D13,KA2!D13,KA3!D13,KA4!D13,KA5!D13,KA6!D13))</f>
        <v/>
      </c>
      <c r="C10" s="48">
        <f>IF($A$1="","",CHOOSE($A$1,KA1!E13,KA2!E13,KA3!E13,KA4!E13,KA5!E13,KA6!E13))</f>
        <v/>
      </c>
      <c r="D10" s="48">
        <f>IF($A$1="","",CHOOSE($A$1,KA1!F13,KA2!F13,KA3!F13,KA4!F13,KA5!F13,KA6!F13))</f>
        <v/>
      </c>
      <c r="E10" s="48">
        <f>IF($A$1="","",CHOOSE($A$1,KA1!G13,KA2!G13,KA3!G13,KA4!G13,KA5!G13,KA6!G13))</f>
        <v/>
      </c>
      <c r="F10" s="48">
        <f>IF($A$1="","",CHOOSE($A$1,KA1!H13,KA2!H13,KA3!H13,KA4!H13,KA5!H13,KA6!H13))</f>
        <v/>
      </c>
      <c r="G10" s="48">
        <f>IF($A$1="","",CHOOSE($A$1,KA1!I13,KA2!I13,KA3!I13,KA4!I13,KA5!I13,KA6!I13))</f>
        <v/>
      </c>
      <c r="H10" s="48">
        <f>IF($A$1="","",CHOOSE($A$1,KA1!J13,KA2!J13,KA3!J13,KA4!J13,KA5!J13,KA6!J13))</f>
        <v/>
      </c>
      <c r="I10" s="48">
        <f>IF($A$1="","",CHOOSE($A$1,KA1!K13,KA2!K13,KA3!K13,KA4!K13,KA5!K13,KA6!K13))</f>
        <v/>
      </c>
      <c r="J10" s="48">
        <f>IF($A$1="","",CHOOSE($A$1,KA1!L13,KA2!L13,KA3!L13,KA4!L13,KA5!L13,KA6!L13))</f>
        <v/>
      </c>
      <c r="K10" s="48">
        <f>IF($A$1="","",CHOOSE($A$1,KA1!M13,KA2!M13,KA3!M13,KA4!M13,KA5!M13,KA6!M13))</f>
        <v/>
      </c>
      <c r="L10" s="48">
        <f>IF($A$1="","",CHOOSE($A$1,KA1!N13,KA2!N13,KA3!N13,KA4!N13,KA5!N13,KA6!N13))</f>
        <v/>
      </c>
      <c r="M10" s="48">
        <f>IF($A$1="","",CHOOSE($A$1,KA1!O13,KA2!O13,KA3!O13,KA4!O13,KA5!O13,KA6!O13))</f>
        <v/>
      </c>
      <c r="N10" s="48">
        <f>IF($A$1="","",CHOOSE($A$1,KA1!P13,KA2!P13,KA3!P13,KA4!P13,KA5!P13,KA6!P13))</f>
        <v/>
      </c>
      <c r="O10" s="65">
        <f>IF($A$1="","",CHOOSE($A$1,KA1!Q13,KA2!Q13,KA3!Q13,KA4!Q13,KA5!Q13,KA6!Q13))</f>
        <v/>
      </c>
      <c r="P10" s="19">
        <f>IF($A$1="","",CHOOSE($A$1,KA1!R13,KA2!R13,KA3!R13,KA4!R13,KA5!R13,KA6!R13))</f>
        <v/>
      </c>
      <c r="Q10" s="26">
        <f>IF($A$1="","",CHOOSE($A$1,KA1!S13,KA2!S13,KA3!S13,KA4!S13,KA5!S13,KA6!S13))</f>
        <v/>
      </c>
      <c r="R10" s="26">
        <f>IF($A$1="","",T(CHOOSE($A$1,KA1!$T$13,KA2!$T$13,KA3!$T$13,KA4!$T$13,KA5!$T$13,KA6!$T$13)))</f>
        <v/>
      </c>
    </row>
    <row r="11">
      <c r="B11" s="48">
        <f>IF($A$1="","",CHOOSE($A$1,KA1!D14,KA2!D14,KA3!D14,KA4!D14,KA5!D14,KA6!D14))</f>
        <v/>
      </c>
      <c r="C11" s="48">
        <f>IF($A$1="","",CHOOSE($A$1,KA1!E14,KA2!E14,KA3!E14,KA4!E14,KA5!E14,KA6!E14))</f>
        <v/>
      </c>
      <c r="D11" s="48">
        <f>IF($A$1="","",CHOOSE($A$1,KA1!F14,KA2!F14,KA3!F14,KA4!F14,KA5!F14,KA6!F14))</f>
        <v/>
      </c>
      <c r="E11" s="48">
        <f>IF($A$1="","",CHOOSE($A$1,KA1!G14,KA2!G14,KA3!G14,KA4!G14,KA5!G14,KA6!G14))</f>
        <v/>
      </c>
      <c r="F11" s="48">
        <f>IF($A$1="","",CHOOSE($A$1,KA1!H14,KA2!H14,KA3!H14,KA4!H14,KA5!H14,KA6!H14))</f>
        <v/>
      </c>
      <c r="G11" s="48">
        <f>IF($A$1="","",CHOOSE($A$1,KA1!I14,KA2!I14,KA3!I14,KA4!I14,KA5!I14,KA6!I14))</f>
        <v/>
      </c>
      <c r="H11" s="48">
        <f>IF($A$1="","",CHOOSE($A$1,KA1!J14,KA2!J14,KA3!J14,KA4!J14,KA5!J14,KA6!J14))</f>
        <v/>
      </c>
      <c r="I11" s="48">
        <f>IF($A$1="","",CHOOSE($A$1,KA1!K14,KA2!K14,KA3!K14,KA4!K14,KA5!K14,KA6!K14))</f>
        <v/>
      </c>
      <c r="J11" s="48">
        <f>IF($A$1="","",CHOOSE($A$1,KA1!L14,KA2!L14,KA3!L14,KA4!L14,KA5!L14,KA6!L14))</f>
        <v/>
      </c>
      <c r="K11" s="48">
        <f>IF($A$1="","",CHOOSE($A$1,KA1!M14,KA2!M14,KA3!M14,KA4!M14,KA5!M14,KA6!M14))</f>
        <v/>
      </c>
      <c r="L11" s="48">
        <f>IF($A$1="","",CHOOSE($A$1,KA1!N14,KA2!N14,KA3!N14,KA4!N14,KA5!N14,KA6!N14))</f>
        <v/>
      </c>
      <c r="M11" s="48">
        <f>IF($A$1="","",CHOOSE($A$1,KA1!O14,KA2!O14,KA3!O14,KA4!O14,KA5!O14,KA6!O14))</f>
        <v/>
      </c>
      <c r="N11" s="48">
        <f>IF($A$1="","",CHOOSE($A$1,KA1!P14,KA2!P14,KA3!P14,KA4!P14,KA5!P14,KA6!P14))</f>
        <v/>
      </c>
      <c r="O11" s="65">
        <f>IF($A$1="","",CHOOSE($A$1,KA1!Q14,KA2!Q14,KA3!Q14,KA4!Q14,KA5!Q14,KA6!Q14))</f>
        <v/>
      </c>
      <c r="P11" s="19">
        <f>IF($A$1="","",CHOOSE($A$1,KA1!R14,KA2!R14,KA3!R14,KA4!R14,KA5!R14,KA6!R14))</f>
        <v/>
      </c>
      <c r="Q11" s="26">
        <f>IF($A$1="","",CHOOSE($A$1,KA1!S14,KA2!S14,KA3!S14,KA4!S14,KA5!S14,KA6!S14))</f>
        <v/>
      </c>
      <c r="R11" s="26">
        <f>IF($A$1="","",T(CHOOSE($A$1,KA1!$T$14,KA2!$T$14,KA3!$T$14,KA4!$T$14,KA5!$T$14,KA6!$T$14)))</f>
        <v/>
      </c>
    </row>
    <row r="12">
      <c r="B12" s="48">
        <f>IF($A$1="","",CHOOSE($A$1,KA1!D15,KA2!D15,KA3!D15,KA4!D15,KA5!D15,KA6!D15))</f>
        <v/>
      </c>
      <c r="C12" s="48">
        <f>IF($A$1="","",CHOOSE($A$1,KA1!E15,KA2!E15,KA3!E15,KA4!E15,KA5!E15,KA6!E15))</f>
        <v/>
      </c>
      <c r="D12" s="48">
        <f>IF($A$1="","",CHOOSE($A$1,KA1!F15,KA2!F15,KA3!F15,KA4!F15,KA5!F15,KA6!F15))</f>
        <v/>
      </c>
      <c r="E12" s="48">
        <f>IF($A$1="","",CHOOSE($A$1,KA1!G15,KA2!G15,KA3!G15,KA4!G15,KA5!G15,KA6!G15))</f>
        <v/>
      </c>
      <c r="F12" s="48">
        <f>IF($A$1="","",CHOOSE($A$1,KA1!H15,KA2!H15,KA3!H15,KA4!H15,KA5!H15,KA6!H15))</f>
        <v/>
      </c>
      <c r="G12" s="48">
        <f>IF($A$1="","",CHOOSE($A$1,KA1!I15,KA2!I15,KA3!I15,KA4!I15,KA5!I15,KA6!I15))</f>
        <v/>
      </c>
      <c r="H12" s="48">
        <f>IF($A$1="","",CHOOSE($A$1,KA1!J15,KA2!J15,KA3!J15,KA4!J15,KA5!J15,KA6!J15))</f>
        <v/>
      </c>
      <c r="I12" s="48">
        <f>IF($A$1="","",CHOOSE($A$1,KA1!K15,KA2!K15,KA3!K15,KA4!K15,KA5!K15,KA6!K15))</f>
        <v/>
      </c>
      <c r="J12" s="48">
        <f>IF($A$1="","",CHOOSE($A$1,KA1!L15,KA2!L15,KA3!L15,KA4!L15,KA5!L15,KA6!L15))</f>
        <v/>
      </c>
      <c r="K12" s="48">
        <f>IF($A$1="","",CHOOSE($A$1,KA1!M15,KA2!M15,KA3!M15,KA4!M15,KA5!M15,KA6!M15))</f>
        <v/>
      </c>
      <c r="L12" s="48">
        <f>IF($A$1="","",CHOOSE($A$1,KA1!N15,KA2!N15,KA3!N15,KA4!N15,KA5!N15,KA6!N15))</f>
        <v/>
      </c>
      <c r="M12" s="48">
        <f>IF($A$1="","",CHOOSE($A$1,KA1!O15,KA2!O15,KA3!O15,KA4!O15,KA5!O15,KA6!O15))</f>
        <v/>
      </c>
      <c r="N12" s="48">
        <f>IF($A$1="","",CHOOSE($A$1,KA1!P15,KA2!P15,KA3!P15,KA4!P15,KA5!P15,KA6!P15))</f>
        <v/>
      </c>
      <c r="O12" s="65">
        <f>IF($A$1="","",CHOOSE($A$1,KA1!Q15,KA2!Q15,KA3!Q15,KA4!Q15,KA5!Q15,KA6!Q15))</f>
        <v/>
      </c>
      <c r="P12" s="19">
        <f>IF($A$1="","",CHOOSE($A$1,KA1!R15,KA2!R15,KA3!R15,KA4!R15,KA5!R15,KA6!R15))</f>
        <v/>
      </c>
      <c r="Q12" s="26">
        <f>IF($A$1="","",CHOOSE($A$1,KA1!S15,KA2!S15,KA3!S15,KA4!S15,KA5!S15,KA6!S15))</f>
        <v/>
      </c>
      <c r="R12" s="26">
        <f>IF($A$1="","",T(CHOOSE($A$1,KA1!$T$15,KA2!$T$15,KA3!$T$15,KA4!$T$15,KA5!$T$15,KA6!$T$15)))</f>
        <v/>
      </c>
    </row>
    <row r="13">
      <c r="B13" s="48">
        <f>IF($A$1="","",CHOOSE($A$1,KA1!D16,KA2!D16,KA3!D16,KA4!D16,KA5!D16,KA6!D16))</f>
        <v/>
      </c>
      <c r="C13" s="48">
        <f>IF($A$1="","",CHOOSE($A$1,KA1!E16,KA2!E16,KA3!E16,KA4!E16,KA5!E16,KA6!E16))</f>
        <v/>
      </c>
      <c r="D13" s="48">
        <f>IF($A$1="","",CHOOSE($A$1,KA1!F16,KA2!F16,KA3!F16,KA4!F16,KA5!F16,KA6!F16))</f>
        <v/>
      </c>
      <c r="E13" s="48">
        <f>IF($A$1="","",CHOOSE($A$1,KA1!G16,KA2!G16,KA3!G16,KA4!G16,KA5!G16,KA6!G16))</f>
        <v/>
      </c>
      <c r="F13" s="48">
        <f>IF($A$1="","",CHOOSE($A$1,KA1!H16,KA2!H16,KA3!H16,KA4!H16,KA5!H16,KA6!H16))</f>
        <v/>
      </c>
      <c r="G13" s="48">
        <f>IF($A$1="","",CHOOSE($A$1,KA1!I16,KA2!I16,KA3!I16,KA4!I16,KA5!I16,KA6!I16))</f>
        <v/>
      </c>
      <c r="H13" s="48">
        <f>IF($A$1="","",CHOOSE($A$1,KA1!J16,KA2!J16,KA3!J16,KA4!J16,KA5!J16,KA6!J16))</f>
        <v/>
      </c>
      <c r="I13" s="48">
        <f>IF($A$1="","",CHOOSE($A$1,KA1!K16,KA2!K16,KA3!K16,KA4!K16,KA5!K16,KA6!K16))</f>
        <v/>
      </c>
      <c r="J13" s="48">
        <f>IF($A$1="","",CHOOSE($A$1,KA1!L16,KA2!L16,KA3!L16,KA4!L16,KA5!L16,KA6!L16))</f>
        <v/>
      </c>
      <c r="K13" s="48">
        <f>IF($A$1="","",CHOOSE($A$1,KA1!M16,KA2!M16,KA3!M16,KA4!M16,KA5!M16,KA6!M16))</f>
        <v/>
      </c>
      <c r="L13" s="48">
        <f>IF($A$1="","",CHOOSE($A$1,KA1!N16,KA2!N16,KA3!N16,KA4!N16,KA5!N16,KA6!N16))</f>
        <v/>
      </c>
      <c r="M13" s="48">
        <f>IF($A$1="","",CHOOSE($A$1,KA1!O16,KA2!O16,KA3!O16,KA4!O16,KA5!O16,KA6!O16))</f>
        <v/>
      </c>
      <c r="N13" s="48">
        <f>IF($A$1="","",CHOOSE($A$1,KA1!P16,KA2!P16,KA3!P16,KA4!P16,KA5!P16,KA6!P16))</f>
        <v/>
      </c>
      <c r="O13" s="65">
        <f>IF($A$1="","",CHOOSE($A$1,KA1!Q16,KA2!Q16,KA3!Q16,KA4!Q16,KA5!Q16,KA6!Q16))</f>
        <v/>
      </c>
      <c r="P13" s="19">
        <f>IF($A$1="","",CHOOSE($A$1,KA1!R16,KA2!R16,KA3!R16,KA4!R16,KA5!R16,KA6!R16))</f>
        <v/>
      </c>
      <c r="Q13" s="26">
        <f>IF($A$1="","",CHOOSE($A$1,KA1!S16,KA2!S16,KA3!S16,KA4!S16,KA5!S16,KA6!S16))</f>
        <v/>
      </c>
      <c r="R13" s="26">
        <f>IF($A$1="","",T(CHOOSE($A$1,KA1!$T$16,KA2!$T$16,KA3!$T$16,KA4!$T$16,KA5!$T$16,KA6!$T$16)))</f>
        <v/>
      </c>
    </row>
    <row r="14">
      <c r="B14" s="48">
        <f>IF($A$1="","",CHOOSE($A$1,KA1!D17,KA2!D17,KA3!D17,KA4!D17,KA5!D17,KA6!D17))</f>
        <v/>
      </c>
      <c r="C14" s="48">
        <f>IF($A$1="","",CHOOSE($A$1,KA1!E17,KA2!E17,KA3!E17,KA4!E17,KA5!E17,KA6!E17))</f>
        <v/>
      </c>
      <c r="D14" s="48">
        <f>IF($A$1="","",CHOOSE($A$1,KA1!F17,KA2!F17,KA3!F17,KA4!F17,KA5!F17,KA6!F17))</f>
        <v/>
      </c>
      <c r="E14" s="48">
        <f>IF($A$1="","",CHOOSE($A$1,KA1!G17,KA2!G17,KA3!G17,KA4!G17,KA5!G17,KA6!G17))</f>
        <v/>
      </c>
      <c r="F14" s="48">
        <f>IF($A$1="","",CHOOSE($A$1,KA1!H17,KA2!H17,KA3!H17,KA4!H17,KA5!H17,KA6!H17))</f>
        <v/>
      </c>
      <c r="G14" s="48">
        <f>IF($A$1="","",CHOOSE($A$1,KA1!I17,KA2!I17,KA3!I17,KA4!I17,KA5!I17,KA6!I17))</f>
        <v/>
      </c>
      <c r="H14" s="48">
        <f>IF($A$1="","",CHOOSE($A$1,KA1!J17,KA2!J17,KA3!J17,KA4!J17,KA5!J17,KA6!J17))</f>
        <v/>
      </c>
      <c r="I14" s="48">
        <f>IF($A$1="","",CHOOSE($A$1,KA1!K17,KA2!K17,KA3!K17,KA4!K17,KA5!K17,KA6!K17))</f>
        <v/>
      </c>
      <c r="J14" s="48">
        <f>IF($A$1="","",CHOOSE($A$1,KA1!L17,KA2!L17,KA3!L17,KA4!L17,KA5!L17,KA6!L17))</f>
        <v/>
      </c>
      <c r="K14" s="48">
        <f>IF($A$1="","",CHOOSE($A$1,KA1!M17,KA2!M17,KA3!M17,KA4!M17,KA5!M17,KA6!M17))</f>
        <v/>
      </c>
      <c r="L14" s="48">
        <f>IF($A$1="","",CHOOSE($A$1,KA1!N17,KA2!N17,KA3!N17,KA4!N17,KA5!N17,KA6!N17))</f>
        <v/>
      </c>
      <c r="M14" s="48">
        <f>IF($A$1="","",CHOOSE($A$1,KA1!O17,KA2!O17,KA3!O17,KA4!O17,KA5!O17,KA6!O17))</f>
        <v/>
      </c>
      <c r="N14" s="48">
        <f>IF($A$1="","",CHOOSE($A$1,KA1!P17,KA2!P17,KA3!P17,KA4!P17,KA5!P17,KA6!P17))</f>
        <v/>
      </c>
      <c r="O14" s="65">
        <f>IF($A$1="","",CHOOSE($A$1,KA1!Q17,KA2!Q17,KA3!Q17,KA4!Q17,KA5!Q17,KA6!Q17))</f>
        <v/>
      </c>
      <c r="P14" s="19">
        <f>IF($A$1="","",CHOOSE($A$1,KA1!R17,KA2!R17,KA3!R17,KA4!R17,KA5!R17,KA6!R17))</f>
        <v/>
      </c>
      <c r="Q14" s="26">
        <f>IF($A$1="","",CHOOSE($A$1,KA1!S17,KA2!S17,KA3!S17,KA4!S17,KA5!S17,KA6!S17))</f>
        <v/>
      </c>
      <c r="R14" s="26">
        <f>IF($A$1="","",T(CHOOSE($A$1,KA1!$T$17,KA2!$T$17,KA3!$T$17,KA4!$T$17,KA5!$T$17,KA6!$T$17)))</f>
        <v/>
      </c>
    </row>
    <row r="15">
      <c r="B15" s="48">
        <f>IF($A$1="","",CHOOSE($A$1,KA1!D18,KA2!D18,KA3!D18,KA4!D18,KA5!D18,KA6!D18))</f>
        <v/>
      </c>
      <c r="C15" s="48">
        <f>IF($A$1="","",CHOOSE($A$1,KA1!E18,KA2!E18,KA3!E18,KA4!E18,KA5!E18,KA6!E18))</f>
        <v/>
      </c>
      <c r="D15" s="48">
        <f>IF($A$1="","",CHOOSE($A$1,KA1!F18,KA2!F18,KA3!F18,KA4!F18,KA5!F18,KA6!F18))</f>
        <v/>
      </c>
      <c r="E15" s="48">
        <f>IF($A$1="","",CHOOSE($A$1,KA1!G18,KA2!G18,KA3!G18,KA4!G18,KA5!G18,KA6!G18))</f>
        <v/>
      </c>
      <c r="F15" s="48">
        <f>IF($A$1="","",CHOOSE($A$1,KA1!H18,KA2!H18,KA3!H18,KA4!H18,KA5!H18,KA6!H18))</f>
        <v/>
      </c>
      <c r="G15" s="48">
        <f>IF($A$1="","",CHOOSE($A$1,KA1!I18,KA2!I18,KA3!I18,KA4!I18,KA5!I18,KA6!I18))</f>
        <v/>
      </c>
      <c r="H15" s="48">
        <f>IF($A$1="","",CHOOSE($A$1,KA1!J18,KA2!J18,KA3!J18,KA4!J18,KA5!J18,KA6!J18))</f>
        <v/>
      </c>
      <c r="I15" s="48">
        <f>IF($A$1="","",CHOOSE($A$1,KA1!K18,KA2!K18,KA3!K18,KA4!K18,KA5!K18,KA6!K18))</f>
        <v/>
      </c>
      <c r="J15" s="48">
        <f>IF($A$1="","",CHOOSE($A$1,KA1!L18,KA2!L18,KA3!L18,KA4!L18,KA5!L18,KA6!L18))</f>
        <v/>
      </c>
      <c r="K15" s="48">
        <f>IF($A$1="","",CHOOSE($A$1,KA1!M18,KA2!M18,KA3!M18,KA4!M18,KA5!M18,KA6!M18))</f>
        <v/>
      </c>
      <c r="L15" s="48">
        <f>IF($A$1="","",CHOOSE($A$1,KA1!N18,KA2!N18,KA3!N18,KA4!N18,KA5!N18,KA6!N18))</f>
        <v/>
      </c>
      <c r="M15" s="48">
        <f>IF($A$1="","",CHOOSE($A$1,KA1!O18,KA2!O18,KA3!O18,KA4!O18,KA5!O18,KA6!O18))</f>
        <v/>
      </c>
      <c r="N15" s="48">
        <f>IF($A$1="","",CHOOSE($A$1,KA1!P18,KA2!P18,KA3!P18,KA4!P18,KA5!P18,KA6!P18))</f>
        <v/>
      </c>
      <c r="O15" s="65">
        <f>IF($A$1="","",CHOOSE($A$1,KA1!Q18,KA2!Q18,KA3!Q18,KA4!Q18,KA5!Q18,KA6!Q18))</f>
        <v/>
      </c>
      <c r="P15" s="19">
        <f>IF($A$1="","",CHOOSE($A$1,KA1!R18,KA2!R18,KA3!R18,KA4!R18,KA5!R18,KA6!R18))</f>
        <v/>
      </c>
      <c r="Q15" s="26">
        <f>IF($A$1="","",CHOOSE($A$1,KA1!S18,KA2!S18,KA3!S18,KA4!S18,KA5!S18,KA6!S18))</f>
        <v/>
      </c>
      <c r="R15" s="26">
        <f>IF($A$1="","",T(CHOOSE($A$1,KA1!$T$18,KA2!$T$18,KA3!$T$18,KA4!$T$18,KA5!$T$18,KA6!$T$18)))</f>
        <v/>
      </c>
    </row>
    <row r="16">
      <c r="B16" s="48">
        <f>IF($A$1="","",CHOOSE($A$1,KA1!D19,KA2!D19,KA3!D19,KA4!D19,KA5!D19,KA6!D19))</f>
        <v/>
      </c>
      <c r="C16" s="48">
        <f>IF($A$1="","",CHOOSE($A$1,KA1!E19,KA2!E19,KA3!E19,KA4!E19,KA5!E19,KA6!E19))</f>
        <v/>
      </c>
      <c r="D16" s="48">
        <f>IF($A$1="","",CHOOSE($A$1,KA1!F19,KA2!F19,KA3!F19,KA4!F19,KA5!F19,KA6!F19))</f>
        <v/>
      </c>
      <c r="E16" s="48">
        <f>IF($A$1="","",CHOOSE($A$1,KA1!G19,KA2!G19,KA3!G19,KA4!G19,KA5!G19,KA6!G19))</f>
        <v/>
      </c>
      <c r="F16" s="48">
        <f>IF($A$1="","",CHOOSE($A$1,KA1!H19,KA2!H19,KA3!H19,KA4!H19,KA5!H19,KA6!H19))</f>
        <v/>
      </c>
      <c r="G16" s="48">
        <f>IF($A$1="","",CHOOSE($A$1,KA1!I19,KA2!I19,KA3!I19,KA4!I19,KA5!I19,KA6!I19))</f>
        <v/>
      </c>
      <c r="H16" s="48">
        <f>IF($A$1="","",CHOOSE($A$1,KA1!J19,KA2!J19,KA3!J19,KA4!J19,KA5!J19,KA6!J19))</f>
        <v/>
      </c>
      <c r="I16" s="48">
        <f>IF($A$1="","",CHOOSE($A$1,KA1!K19,KA2!K19,KA3!K19,KA4!K19,KA5!K19,KA6!K19))</f>
        <v/>
      </c>
      <c r="J16" s="48">
        <f>IF($A$1="","",CHOOSE($A$1,KA1!L19,KA2!L19,KA3!L19,KA4!L19,KA5!L19,KA6!L19))</f>
        <v/>
      </c>
      <c r="K16" s="48">
        <f>IF($A$1="","",CHOOSE($A$1,KA1!M19,KA2!M19,KA3!M19,KA4!M19,KA5!M19,KA6!M19))</f>
        <v/>
      </c>
      <c r="L16" s="48">
        <f>IF($A$1="","",CHOOSE($A$1,KA1!N19,KA2!N19,KA3!N19,KA4!N19,KA5!N19,KA6!N19))</f>
        <v/>
      </c>
      <c r="M16" s="48">
        <f>IF($A$1="","",CHOOSE($A$1,KA1!O19,KA2!O19,KA3!O19,KA4!O19,KA5!O19,KA6!O19))</f>
        <v/>
      </c>
      <c r="N16" s="48">
        <f>IF($A$1="","",CHOOSE($A$1,KA1!P19,KA2!P19,KA3!P19,KA4!P19,KA5!P19,KA6!P19))</f>
        <v/>
      </c>
      <c r="O16" s="65">
        <f>IF($A$1="","",CHOOSE($A$1,KA1!Q19,KA2!Q19,KA3!Q19,KA4!Q19,KA5!Q19,KA6!Q19))</f>
        <v/>
      </c>
      <c r="P16" s="19">
        <f>IF($A$1="","",CHOOSE($A$1,KA1!R19,KA2!R19,KA3!R19,KA4!R19,KA5!R19,KA6!R19))</f>
        <v/>
      </c>
      <c r="Q16" s="26">
        <f>IF($A$1="","",CHOOSE($A$1,KA1!S19,KA2!S19,KA3!S19,KA4!S19,KA5!S19,KA6!S19))</f>
        <v/>
      </c>
      <c r="R16" s="26">
        <f>IF($A$1="","",T(CHOOSE($A$1,KA1!$T$19,KA2!$T$19,KA3!$T$19,KA4!$T$19,KA5!$T$19,KA6!$T$19)))</f>
        <v/>
      </c>
    </row>
    <row r="17">
      <c r="B17" s="48">
        <f>IF($A$1="","",CHOOSE($A$1,KA1!D20,KA2!D20,KA3!D20,KA4!D20,KA5!D20,KA6!D20))</f>
        <v/>
      </c>
      <c r="C17" s="48">
        <f>IF($A$1="","",CHOOSE($A$1,KA1!E20,KA2!E20,KA3!E20,KA4!E20,KA5!E20,KA6!E20))</f>
        <v/>
      </c>
      <c r="D17" s="48">
        <f>IF($A$1="","",CHOOSE($A$1,KA1!F20,KA2!F20,KA3!F20,KA4!F20,KA5!F20,KA6!F20))</f>
        <v/>
      </c>
      <c r="E17" s="48">
        <f>IF($A$1="","",CHOOSE($A$1,KA1!G20,KA2!G20,KA3!G20,KA4!G20,KA5!G20,KA6!G20))</f>
        <v/>
      </c>
      <c r="F17" s="48">
        <f>IF($A$1="","",CHOOSE($A$1,KA1!H20,KA2!H20,KA3!H20,KA4!H20,KA5!H20,KA6!H20))</f>
        <v/>
      </c>
      <c r="G17" s="48">
        <f>IF($A$1="","",CHOOSE($A$1,KA1!I20,KA2!I20,KA3!I20,KA4!I20,KA5!I20,KA6!I20))</f>
        <v/>
      </c>
      <c r="H17" s="48">
        <f>IF($A$1="","",CHOOSE($A$1,KA1!J20,KA2!J20,KA3!J20,KA4!J20,KA5!J20,KA6!J20))</f>
        <v/>
      </c>
      <c r="I17" s="48">
        <f>IF($A$1="","",CHOOSE($A$1,KA1!K20,KA2!K20,KA3!K20,KA4!K20,KA5!K20,KA6!K20))</f>
        <v/>
      </c>
      <c r="J17" s="48">
        <f>IF($A$1="","",CHOOSE($A$1,KA1!L20,KA2!L20,KA3!L20,KA4!L20,KA5!L20,KA6!L20))</f>
        <v/>
      </c>
      <c r="K17" s="48">
        <f>IF($A$1="","",CHOOSE($A$1,KA1!M20,KA2!M20,KA3!M20,KA4!M20,KA5!M20,KA6!M20))</f>
        <v/>
      </c>
      <c r="L17" s="48">
        <f>IF($A$1="","",CHOOSE($A$1,KA1!N20,KA2!N20,KA3!N20,KA4!N20,KA5!N20,KA6!N20))</f>
        <v/>
      </c>
      <c r="M17" s="48">
        <f>IF($A$1="","",CHOOSE($A$1,KA1!O20,KA2!O20,KA3!O20,KA4!O20,KA5!O20,KA6!O20))</f>
        <v/>
      </c>
      <c r="N17" s="48">
        <f>IF($A$1="","",CHOOSE($A$1,KA1!P20,KA2!P20,KA3!P20,KA4!P20,KA5!P20,KA6!P20))</f>
        <v/>
      </c>
      <c r="O17" s="65">
        <f>IF($A$1="","",CHOOSE($A$1,KA1!Q20,KA2!Q20,KA3!Q20,KA4!Q20,KA5!Q20,KA6!Q20))</f>
        <v/>
      </c>
      <c r="P17" s="19">
        <f>IF($A$1="","",CHOOSE($A$1,KA1!R20,KA2!R20,KA3!R20,KA4!R20,KA5!R20,KA6!R20))</f>
        <v/>
      </c>
      <c r="Q17" s="26">
        <f>IF($A$1="","",CHOOSE($A$1,KA1!S20,KA2!S20,KA3!S20,KA4!S20,KA5!S20,KA6!S20))</f>
        <v/>
      </c>
      <c r="R17" s="26">
        <f>IF($A$1="","",T(CHOOSE($A$1,KA1!$T$20,KA2!$T$20,KA3!$T$20,KA4!$T$20,KA5!$T$20,KA6!$T$20)))</f>
        <v/>
      </c>
    </row>
    <row r="18">
      <c r="B18" s="48">
        <f>IF($A$1="","",CHOOSE($A$1,KA1!D21,KA2!D21,KA3!D21,KA4!D21,KA5!D21,KA6!D21))</f>
        <v/>
      </c>
      <c r="C18" s="48">
        <f>IF($A$1="","",CHOOSE($A$1,KA1!E21,KA2!E21,KA3!E21,KA4!E21,KA5!E21,KA6!E21))</f>
        <v/>
      </c>
      <c r="D18" s="48">
        <f>IF($A$1="","",CHOOSE($A$1,KA1!F21,KA2!F21,KA3!F21,KA4!F21,KA5!F21,KA6!F21))</f>
        <v/>
      </c>
      <c r="E18" s="48">
        <f>IF($A$1="","",CHOOSE($A$1,KA1!G21,KA2!G21,KA3!G21,KA4!G21,KA5!G21,KA6!G21))</f>
        <v/>
      </c>
      <c r="F18" s="48">
        <f>IF($A$1="","",CHOOSE($A$1,KA1!H21,KA2!H21,KA3!H21,KA4!H21,KA5!H21,KA6!H21))</f>
        <v/>
      </c>
      <c r="G18" s="48">
        <f>IF($A$1="","",CHOOSE($A$1,KA1!I21,KA2!I21,KA3!I21,KA4!I21,KA5!I21,KA6!I21))</f>
        <v/>
      </c>
      <c r="H18" s="48">
        <f>IF($A$1="","",CHOOSE($A$1,KA1!J21,KA2!J21,KA3!J21,KA4!J21,KA5!J21,KA6!J21))</f>
        <v/>
      </c>
      <c r="I18" s="48">
        <f>IF($A$1="","",CHOOSE($A$1,KA1!K21,KA2!K21,KA3!K21,KA4!K21,KA5!K21,KA6!K21))</f>
        <v/>
      </c>
      <c r="J18" s="48">
        <f>IF($A$1="","",CHOOSE($A$1,KA1!L21,KA2!L21,KA3!L21,KA4!L21,KA5!L21,KA6!L21))</f>
        <v/>
      </c>
      <c r="K18" s="48">
        <f>IF($A$1="","",CHOOSE($A$1,KA1!M21,KA2!M21,KA3!M21,KA4!M21,KA5!M21,KA6!M21))</f>
        <v/>
      </c>
      <c r="L18" s="48">
        <f>IF($A$1="","",CHOOSE($A$1,KA1!N21,KA2!N21,KA3!N21,KA4!N21,KA5!N21,KA6!N21))</f>
        <v/>
      </c>
      <c r="M18" s="48">
        <f>IF($A$1="","",CHOOSE($A$1,KA1!O21,KA2!O21,KA3!O21,KA4!O21,KA5!O21,KA6!O21))</f>
        <v/>
      </c>
      <c r="N18" s="48">
        <f>IF($A$1="","",CHOOSE($A$1,KA1!P21,KA2!P21,KA3!P21,KA4!P21,KA5!P21,KA6!P21))</f>
        <v/>
      </c>
      <c r="O18" s="65">
        <f>IF($A$1="","",CHOOSE($A$1,KA1!Q21,KA2!Q21,KA3!Q21,KA4!Q21,KA5!Q21,KA6!Q21))</f>
        <v/>
      </c>
      <c r="P18" s="19">
        <f>IF($A$1="","",CHOOSE($A$1,KA1!R21,KA2!R21,KA3!R21,KA4!R21,KA5!R21,KA6!R21))</f>
        <v/>
      </c>
      <c r="Q18" s="26">
        <f>IF($A$1="","",CHOOSE($A$1,KA1!S21,KA2!S21,KA3!S21,KA4!S21,KA5!S21,KA6!S21))</f>
        <v/>
      </c>
      <c r="R18" s="26">
        <f>IF($A$1="","",T(CHOOSE($A$1,KA1!$T$21,KA2!$T$21,KA3!$T$21,KA4!$T$21,KA5!$T$21,KA6!$T$21)))</f>
        <v/>
      </c>
    </row>
    <row r="19">
      <c r="B19" s="48">
        <f>IF($A$1="","",CHOOSE($A$1,KA1!D22,KA2!D22,KA3!D22,KA4!D22,KA5!D22,KA6!D22))</f>
        <v/>
      </c>
      <c r="C19" s="48">
        <f>IF($A$1="","",CHOOSE($A$1,KA1!E22,KA2!E22,KA3!E22,KA4!E22,KA5!E22,KA6!E22))</f>
        <v/>
      </c>
      <c r="D19" s="48">
        <f>IF($A$1="","",CHOOSE($A$1,KA1!F22,KA2!F22,KA3!F22,KA4!F22,KA5!F22,KA6!F22))</f>
        <v/>
      </c>
      <c r="E19" s="48">
        <f>IF($A$1="","",CHOOSE($A$1,KA1!G22,KA2!G22,KA3!G22,KA4!G22,KA5!G22,KA6!G22))</f>
        <v/>
      </c>
      <c r="F19" s="48">
        <f>IF($A$1="","",CHOOSE($A$1,KA1!H22,KA2!H22,KA3!H22,KA4!H22,KA5!H22,KA6!H22))</f>
        <v/>
      </c>
      <c r="G19" s="48">
        <f>IF($A$1="","",CHOOSE($A$1,KA1!I22,KA2!I22,KA3!I22,KA4!I22,KA5!I22,KA6!I22))</f>
        <v/>
      </c>
      <c r="H19" s="48">
        <f>IF($A$1="","",CHOOSE($A$1,KA1!J22,KA2!J22,KA3!J22,KA4!J22,KA5!J22,KA6!J22))</f>
        <v/>
      </c>
      <c r="I19" s="48">
        <f>IF($A$1="","",CHOOSE($A$1,KA1!K22,KA2!K22,KA3!K22,KA4!K22,KA5!K22,KA6!K22))</f>
        <v/>
      </c>
      <c r="J19" s="48">
        <f>IF($A$1="","",CHOOSE($A$1,KA1!L22,KA2!L22,KA3!L22,KA4!L22,KA5!L22,KA6!L22))</f>
        <v/>
      </c>
      <c r="K19" s="48">
        <f>IF($A$1="","",CHOOSE($A$1,KA1!M22,KA2!M22,KA3!M22,KA4!M22,KA5!M22,KA6!M22))</f>
        <v/>
      </c>
      <c r="L19" s="48">
        <f>IF($A$1="","",CHOOSE($A$1,KA1!N22,KA2!N22,KA3!N22,KA4!N22,KA5!N22,KA6!N22))</f>
        <v/>
      </c>
      <c r="M19" s="48">
        <f>IF($A$1="","",CHOOSE($A$1,KA1!O22,KA2!O22,KA3!O22,KA4!O22,KA5!O22,KA6!O22))</f>
        <v/>
      </c>
      <c r="N19" s="48">
        <f>IF($A$1="","",CHOOSE($A$1,KA1!P22,KA2!P22,KA3!P22,KA4!P22,KA5!P22,KA6!P22))</f>
        <v/>
      </c>
      <c r="O19" s="65">
        <f>IF($A$1="","",CHOOSE($A$1,KA1!Q22,KA2!Q22,KA3!Q22,KA4!Q22,KA5!Q22,KA6!Q22))</f>
        <v/>
      </c>
      <c r="P19" s="19">
        <f>IF($A$1="","",CHOOSE($A$1,KA1!R22,KA2!R22,KA3!R22,KA4!R22,KA5!R22,KA6!R22))</f>
        <v/>
      </c>
      <c r="Q19" s="26">
        <f>IF($A$1="","",CHOOSE($A$1,KA1!S22,KA2!S22,KA3!S22,KA4!S22,KA5!S22,KA6!S22))</f>
        <v/>
      </c>
      <c r="R19" s="26">
        <f>IF($A$1="","",T(CHOOSE($A$1,KA1!$T$22,KA2!$T$22,KA3!$T$22,KA4!$T$22,KA5!$T$22,KA6!$T$22)))</f>
        <v/>
      </c>
    </row>
    <row r="20">
      <c r="B20" s="48">
        <f>IF($A$1="","",CHOOSE($A$1,KA1!D23,KA2!D23,KA3!D23,KA4!D23,KA5!D23,KA6!D23))</f>
        <v/>
      </c>
      <c r="C20" s="48">
        <f>IF($A$1="","",CHOOSE($A$1,KA1!E23,KA2!E23,KA3!E23,KA4!E23,KA5!E23,KA6!E23))</f>
        <v/>
      </c>
      <c r="D20" s="48">
        <f>IF($A$1="","",CHOOSE($A$1,KA1!F23,KA2!F23,KA3!F23,KA4!F23,KA5!F23,KA6!F23))</f>
        <v/>
      </c>
      <c r="E20" s="48">
        <f>IF($A$1="","",CHOOSE($A$1,KA1!G23,KA2!G23,KA3!G23,KA4!G23,KA5!G23,KA6!G23))</f>
        <v/>
      </c>
      <c r="F20" s="48">
        <f>IF($A$1="","",CHOOSE($A$1,KA1!H23,KA2!H23,KA3!H23,KA4!H23,KA5!H23,KA6!H23))</f>
        <v/>
      </c>
      <c r="G20" s="48">
        <f>IF($A$1="","",CHOOSE($A$1,KA1!I23,KA2!I23,KA3!I23,KA4!I23,KA5!I23,KA6!I23))</f>
        <v/>
      </c>
      <c r="H20" s="48">
        <f>IF($A$1="","",CHOOSE($A$1,KA1!J23,KA2!J23,KA3!J23,KA4!J23,KA5!J23,KA6!J23))</f>
        <v/>
      </c>
      <c r="I20" s="48">
        <f>IF($A$1="","",CHOOSE($A$1,KA1!K23,KA2!K23,KA3!K23,KA4!K23,KA5!K23,KA6!K23))</f>
        <v/>
      </c>
      <c r="J20" s="48">
        <f>IF($A$1="","",CHOOSE($A$1,KA1!L23,KA2!L23,KA3!L23,KA4!L23,KA5!L23,KA6!L23))</f>
        <v/>
      </c>
      <c r="K20" s="48">
        <f>IF($A$1="","",CHOOSE($A$1,KA1!M23,KA2!M23,KA3!M23,KA4!M23,KA5!M23,KA6!M23))</f>
        <v/>
      </c>
      <c r="L20" s="48">
        <f>IF($A$1="","",CHOOSE($A$1,KA1!N23,KA2!N23,KA3!N23,KA4!N23,KA5!N23,KA6!N23))</f>
        <v/>
      </c>
      <c r="M20" s="48">
        <f>IF($A$1="","",CHOOSE($A$1,KA1!O23,KA2!O23,KA3!O23,KA4!O23,KA5!O23,KA6!O23))</f>
        <v/>
      </c>
      <c r="N20" s="48">
        <f>IF($A$1="","",CHOOSE($A$1,KA1!P23,KA2!P23,KA3!P23,KA4!P23,KA5!P23,KA6!P23))</f>
        <v/>
      </c>
      <c r="O20" s="65">
        <f>IF($A$1="","",CHOOSE($A$1,KA1!Q23,KA2!Q23,KA3!Q23,KA4!Q23,KA5!Q23,KA6!Q23))</f>
        <v/>
      </c>
      <c r="P20" s="19">
        <f>IF($A$1="","",CHOOSE($A$1,KA1!R23,KA2!R23,KA3!R23,KA4!R23,KA5!R23,KA6!R23))</f>
        <v/>
      </c>
      <c r="Q20" s="26">
        <f>IF($A$1="","",CHOOSE($A$1,KA1!S23,KA2!S23,KA3!S23,KA4!S23,KA5!S23,KA6!S23))</f>
        <v/>
      </c>
      <c r="R20" s="26">
        <f>IF($A$1="","",T(CHOOSE($A$1,KA1!$T$23,KA2!$T$23,KA3!$T$23,KA4!$T$23,KA5!$T$23,KA6!$T$23)))</f>
        <v/>
      </c>
    </row>
    <row r="21">
      <c r="B21" s="48">
        <f>IF($A$1="","",CHOOSE($A$1,KA1!D24,KA2!D24,KA3!D24,KA4!D24,KA5!D24,KA6!D24))</f>
        <v/>
      </c>
      <c r="C21" s="48">
        <f>IF($A$1="","",CHOOSE($A$1,KA1!E24,KA2!E24,KA3!E24,KA4!E24,KA5!E24,KA6!E24))</f>
        <v/>
      </c>
      <c r="D21" s="48">
        <f>IF($A$1="","",CHOOSE($A$1,KA1!F24,KA2!F24,KA3!F24,KA4!F24,KA5!F24,KA6!F24))</f>
        <v/>
      </c>
      <c r="E21" s="48">
        <f>IF($A$1="","",CHOOSE($A$1,KA1!G24,KA2!G24,KA3!G24,KA4!G24,KA5!G24,KA6!G24))</f>
        <v/>
      </c>
      <c r="F21" s="48">
        <f>IF($A$1="","",CHOOSE($A$1,KA1!H24,KA2!H24,KA3!H24,KA4!H24,KA5!H24,KA6!H24))</f>
        <v/>
      </c>
      <c r="G21" s="48">
        <f>IF($A$1="","",CHOOSE($A$1,KA1!I24,KA2!I24,KA3!I24,KA4!I24,KA5!I24,KA6!I24))</f>
        <v/>
      </c>
      <c r="H21" s="48">
        <f>IF($A$1="","",CHOOSE($A$1,KA1!J24,KA2!J24,KA3!J24,KA4!J24,KA5!J24,KA6!J24))</f>
        <v/>
      </c>
      <c r="I21" s="48">
        <f>IF($A$1="","",CHOOSE($A$1,KA1!K24,KA2!K24,KA3!K24,KA4!K24,KA5!K24,KA6!K24))</f>
        <v/>
      </c>
      <c r="J21" s="48">
        <f>IF($A$1="","",CHOOSE($A$1,KA1!L24,KA2!L24,KA3!L24,KA4!L24,KA5!L24,KA6!L24))</f>
        <v/>
      </c>
      <c r="K21" s="48">
        <f>IF($A$1="","",CHOOSE($A$1,KA1!M24,KA2!M24,KA3!M24,KA4!M24,KA5!M24,KA6!M24))</f>
        <v/>
      </c>
      <c r="L21" s="48">
        <f>IF($A$1="","",CHOOSE($A$1,KA1!N24,KA2!N24,KA3!N24,KA4!N24,KA5!N24,KA6!N24))</f>
        <v/>
      </c>
      <c r="M21" s="48">
        <f>IF($A$1="","",CHOOSE($A$1,KA1!O24,KA2!O24,KA3!O24,KA4!O24,KA5!O24,KA6!O24))</f>
        <v/>
      </c>
      <c r="N21" s="48">
        <f>IF($A$1="","",CHOOSE($A$1,KA1!P24,KA2!P24,KA3!P24,KA4!P24,KA5!P24,KA6!P24))</f>
        <v/>
      </c>
      <c r="O21" s="65">
        <f>IF($A$1="","",CHOOSE($A$1,KA1!Q24,KA2!Q24,KA3!Q24,KA4!Q24,KA5!Q24,KA6!Q24))</f>
        <v/>
      </c>
      <c r="P21" s="19">
        <f>IF($A$1="","",CHOOSE($A$1,KA1!R24,KA2!R24,KA3!R24,KA4!R24,KA5!R24,KA6!R24))</f>
        <v/>
      </c>
      <c r="Q21" s="26">
        <f>IF($A$1="","",CHOOSE($A$1,KA1!S24,KA2!S24,KA3!S24,KA4!S24,KA5!S24,KA6!S24))</f>
        <v/>
      </c>
      <c r="R21" s="26">
        <f>IF($A$1="","",T(CHOOSE($A$1,KA1!$T$24,KA2!$T$24,KA3!$T$24,KA4!$T$24,KA5!$T$24,KA6!$T$24)))</f>
        <v/>
      </c>
    </row>
    <row r="22">
      <c r="B22" s="48">
        <f>IF($A$1="","",CHOOSE($A$1,KA1!D25,KA2!D25,KA3!D25,KA4!D25,KA5!D25,KA6!D25))</f>
        <v/>
      </c>
      <c r="C22" s="48">
        <f>IF($A$1="","",CHOOSE($A$1,KA1!E25,KA2!E25,KA3!E25,KA4!E25,KA5!E25,KA6!E25))</f>
        <v/>
      </c>
      <c r="D22" s="48">
        <f>IF($A$1="","",CHOOSE($A$1,KA1!F25,KA2!F25,KA3!F25,KA4!F25,KA5!F25,KA6!F25))</f>
        <v/>
      </c>
      <c r="E22" s="48">
        <f>IF($A$1="","",CHOOSE($A$1,KA1!G25,KA2!G25,KA3!G25,KA4!G25,KA5!G25,KA6!G25))</f>
        <v/>
      </c>
      <c r="F22" s="48">
        <f>IF($A$1="","",CHOOSE($A$1,KA1!H25,KA2!H25,KA3!H25,KA4!H25,KA5!H25,KA6!H25))</f>
        <v/>
      </c>
      <c r="G22" s="48">
        <f>IF($A$1="","",CHOOSE($A$1,KA1!I25,KA2!I25,KA3!I25,KA4!I25,KA5!I25,KA6!I25))</f>
        <v/>
      </c>
      <c r="H22" s="48">
        <f>IF($A$1="","",CHOOSE($A$1,KA1!J25,KA2!J25,KA3!J25,KA4!J25,KA5!J25,KA6!J25))</f>
        <v/>
      </c>
      <c r="I22" s="48">
        <f>IF($A$1="","",CHOOSE($A$1,KA1!K25,KA2!K25,KA3!K25,KA4!K25,KA5!K25,KA6!K25))</f>
        <v/>
      </c>
      <c r="J22" s="48">
        <f>IF($A$1="","",CHOOSE($A$1,KA1!L25,KA2!L25,KA3!L25,KA4!L25,KA5!L25,KA6!L25))</f>
        <v/>
      </c>
      <c r="K22" s="48">
        <f>IF($A$1="","",CHOOSE($A$1,KA1!M25,KA2!M25,KA3!M25,KA4!M25,KA5!M25,KA6!M25))</f>
        <v/>
      </c>
      <c r="L22" s="48">
        <f>IF($A$1="","",CHOOSE($A$1,KA1!N25,KA2!N25,KA3!N25,KA4!N25,KA5!N25,KA6!N25))</f>
        <v/>
      </c>
      <c r="M22" s="48">
        <f>IF($A$1="","",CHOOSE($A$1,KA1!O25,KA2!O25,KA3!O25,KA4!O25,KA5!O25,KA6!O25))</f>
        <v/>
      </c>
      <c r="N22" s="48">
        <f>IF($A$1="","",CHOOSE($A$1,KA1!P25,KA2!P25,KA3!P25,KA4!P25,KA5!P25,KA6!P25))</f>
        <v/>
      </c>
      <c r="O22" s="65">
        <f>IF($A$1="","",CHOOSE($A$1,KA1!Q25,KA2!Q25,KA3!Q25,KA4!Q25,KA5!Q25,KA6!Q25))</f>
        <v/>
      </c>
      <c r="P22" s="19">
        <f>IF($A$1="","",CHOOSE($A$1,KA1!R25,KA2!R25,KA3!R25,KA4!R25,KA5!R25,KA6!R25))</f>
        <v/>
      </c>
      <c r="Q22" s="26">
        <f>IF($A$1="","",CHOOSE($A$1,KA1!S25,KA2!S25,KA3!S25,KA4!S25,KA5!S25,KA6!S25))</f>
        <v/>
      </c>
      <c r="R22" s="26">
        <f>IF($A$1="","",T(CHOOSE($A$1,KA1!$T$25,KA2!$T$25,KA3!$T$25,KA4!$T$25,KA5!$T$25,KA6!$T$25)))</f>
        <v/>
      </c>
    </row>
    <row r="23">
      <c r="B23" s="48">
        <f>IF($A$1="","",CHOOSE($A$1,KA1!D26,KA2!D26,KA3!D26,KA4!D26,KA5!D26,KA6!D26))</f>
        <v/>
      </c>
      <c r="C23" s="48">
        <f>IF($A$1="","",CHOOSE($A$1,KA1!E26,KA2!E26,KA3!E26,KA4!E26,KA5!E26,KA6!E26))</f>
        <v/>
      </c>
      <c r="D23" s="48">
        <f>IF($A$1="","",CHOOSE($A$1,KA1!F26,KA2!F26,KA3!F26,KA4!F26,KA5!F26,KA6!F26))</f>
        <v/>
      </c>
      <c r="E23" s="48">
        <f>IF($A$1="","",CHOOSE($A$1,KA1!G26,KA2!G26,KA3!G26,KA4!G26,KA5!G26,KA6!G26))</f>
        <v/>
      </c>
      <c r="F23" s="48">
        <f>IF($A$1="","",CHOOSE($A$1,KA1!H26,KA2!H26,KA3!H26,KA4!H26,KA5!H26,KA6!H26))</f>
        <v/>
      </c>
      <c r="G23" s="48">
        <f>IF($A$1="","",CHOOSE($A$1,KA1!I26,KA2!I26,KA3!I26,KA4!I26,KA5!I26,KA6!I26))</f>
        <v/>
      </c>
      <c r="H23" s="48">
        <f>IF($A$1="","",CHOOSE($A$1,KA1!J26,KA2!J26,KA3!J26,KA4!J26,KA5!J26,KA6!J26))</f>
        <v/>
      </c>
      <c r="I23" s="48">
        <f>IF($A$1="","",CHOOSE($A$1,KA1!K26,KA2!K26,KA3!K26,KA4!K26,KA5!K26,KA6!K26))</f>
        <v/>
      </c>
      <c r="J23" s="48">
        <f>IF($A$1="","",CHOOSE($A$1,KA1!L26,KA2!L26,KA3!L26,KA4!L26,KA5!L26,KA6!L26))</f>
        <v/>
      </c>
      <c r="K23" s="48">
        <f>IF($A$1="","",CHOOSE($A$1,KA1!M26,KA2!M26,KA3!M26,KA4!M26,KA5!M26,KA6!M26))</f>
        <v/>
      </c>
      <c r="L23" s="48">
        <f>IF($A$1="","",CHOOSE($A$1,KA1!N26,KA2!N26,KA3!N26,KA4!N26,KA5!N26,KA6!N26))</f>
        <v/>
      </c>
      <c r="M23" s="48">
        <f>IF($A$1="","",CHOOSE($A$1,KA1!O26,KA2!O26,KA3!O26,KA4!O26,KA5!O26,KA6!O26))</f>
        <v/>
      </c>
      <c r="N23" s="48">
        <f>IF($A$1="","",CHOOSE($A$1,KA1!P26,KA2!P26,KA3!P26,KA4!P26,KA5!P26,KA6!P26))</f>
        <v/>
      </c>
      <c r="O23" s="65">
        <f>IF($A$1="","",CHOOSE($A$1,KA1!Q26,KA2!Q26,KA3!Q26,KA4!Q26,KA5!Q26,KA6!Q26))</f>
        <v/>
      </c>
      <c r="P23" s="19">
        <f>IF($A$1="","",CHOOSE($A$1,KA1!R26,KA2!R26,KA3!R26,KA4!R26,KA5!R26,KA6!R26))</f>
        <v/>
      </c>
      <c r="Q23" s="26">
        <f>IF($A$1="","",CHOOSE($A$1,KA1!S26,KA2!S26,KA3!S26,KA4!S26,KA5!S26,KA6!S26))</f>
        <v/>
      </c>
      <c r="R23" s="26">
        <f>IF($A$1="","",T(CHOOSE($A$1,KA1!$T$26,KA2!$T$26,KA3!$T$26,KA4!$T$26,KA5!$T$26,KA6!$T$26)))</f>
        <v/>
      </c>
    </row>
    <row r="24">
      <c r="B24" s="48">
        <f>IF($A$1="","",CHOOSE($A$1,KA1!D27,KA2!D27,KA3!D27,KA4!D27,KA5!D27,KA6!D27))</f>
        <v/>
      </c>
      <c r="C24" s="48">
        <f>IF($A$1="","",CHOOSE($A$1,KA1!E27,KA2!E27,KA3!E27,KA4!E27,KA5!E27,KA6!E27))</f>
        <v/>
      </c>
      <c r="D24" s="48">
        <f>IF($A$1="","",CHOOSE($A$1,KA1!F27,KA2!F27,KA3!F27,KA4!F27,KA5!F27,KA6!F27))</f>
        <v/>
      </c>
      <c r="E24" s="48">
        <f>IF($A$1="","",CHOOSE($A$1,KA1!G27,KA2!G27,KA3!G27,KA4!G27,KA5!G27,KA6!G27))</f>
        <v/>
      </c>
      <c r="F24" s="48">
        <f>IF($A$1="","",CHOOSE($A$1,KA1!H27,KA2!H27,KA3!H27,KA4!H27,KA5!H27,KA6!H27))</f>
        <v/>
      </c>
      <c r="G24" s="48">
        <f>IF($A$1="","",CHOOSE($A$1,KA1!I27,KA2!I27,KA3!I27,KA4!I27,KA5!I27,KA6!I27))</f>
        <v/>
      </c>
      <c r="H24" s="48">
        <f>IF($A$1="","",CHOOSE($A$1,KA1!J27,KA2!J27,KA3!J27,KA4!J27,KA5!J27,KA6!J27))</f>
        <v/>
      </c>
      <c r="I24" s="48">
        <f>IF($A$1="","",CHOOSE($A$1,KA1!K27,KA2!K27,KA3!K27,KA4!K27,KA5!K27,KA6!K27))</f>
        <v/>
      </c>
      <c r="J24" s="48">
        <f>IF($A$1="","",CHOOSE($A$1,KA1!L27,KA2!L27,KA3!L27,KA4!L27,KA5!L27,KA6!L27))</f>
        <v/>
      </c>
      <c r="K24" s="48">
        <f>IF($A$1="","",CHOOSE($A$1,KA1!M27,KA2!M27,KA3!M27,KA4!M27,KA5!M27,KA6!M27))</f>
        <v/>
      </c>
      <c r="L24" s="48">
        <f>IF($A$1="","",CHOOSE($A$1,KA1!N27,KA2!N27,KA3!N27,KA4!N27,KA5!N27,KA6!N27))</f>
        <v/>
      </c>
      <c r="M24" s="48">
        <f>IF($A$1="","",CHOOSE($A$1,KA1!O27,KA2!O27,KA3!O27,KA4!O27,KA5!O27,KA6!O27))</f>
        <v/>
      </c>
      <c r="N24" s="48">
        <f>IF($A$1="","",CHOOSE($A$1,KA1!P27,KA2!P27,KA3!P27,KA4!P27,KA5!P27,KA6!P27))</f>
        <v/>
      </c>
      <c r="O24" s="65">
        <f>IF($A$1="","",CHOOSE($A$1,KA1!Q27,KA2!Q27,KA3!Q27,KA4!Q27,KA5!Q27,KA6!Q27))</f>
        <v/>
      </c>
      <c r="P24" s="19">
        <f>IF($A$1="","",CHOOSE($A$1,KA1!R27,KA2!R27,KA3!R27,KA4!R27,KA5!R27,KA6!R27))</f>
        <v/>
      </c>
      <c r="Q24" s="26">
        <f>IF($A$1="","",CHOOSE($A$1,KA1!S27,KA2!S27,KA3!S27,KA4!S27,KA5!S27,KA6!S27))</f>
        <v/>
      </c>
      <c r="R24" s="26">
        <f>IF($A$1="","",T(CHOOSE($A$1,KA1!$T$27,KA2!$T$27,KA3!$T$27,KA4!$T$27,KA5!$T$27,KA6!$T$27)))</f>
        <v/>
      </c>
    </row>
    <row r="25">
      <c r="B25" s="48">
        <f>IF($A$1="","",CHOOSE($A$1,KA1!D28,KA2!D28,KA3!D28,KA4!D28,KA5!D28,KA6!D28))</f>
        <v/>
      </c>
      <c r="C25" s="48">
        <f>IF($A$1="","",CHOOSE($A$1,KA1!E28,KA2!E28,KA3!E28,KA4!E28,KA5!E28,KA6!E28))</f>
        <v/>
      </c>
      <c r="D25" s="48">
        <f>IF($A$1="","",CHOOSE($A$1,KA1!F28,KA2!F28,KA3!F28,KA4!F28,KA5!F28,KA6!F28))</f>
        <v/>
      </c>
      <c r="E25" s="48">
        <f>IF($A$1="","",CHOOSE($A$1,KA1!G28,KA2!G28,KA3!G28,KA4!G28,KA5!G28,KA6!G28))</f>
        <v/>
      </c>
      <c r="F25" s="48">
        <f>IF($A$1="","",CHOOSE($A$1,KA1!H28,KA2!H28,KA3!H28,KA4!H28,KA5!H28,KA6!H28))</f>
        <v/>
      </c>
      <c r="G25" s="48">
        <f>IF($A$1="","",CHOOSE($A$1,KA1!I28,KA2!I28,KA3!I28,KA4!I28,KA5!I28,KA6!I28))</f>
        <v/>
      </c>
      <c r="H25" s="48">
        <f>IF($A$1="","",CHOOSE($A$1,KA1!J28,KA2!J28,KA3!J28,KA4!J28,KA5!J28,KA6!J28))</f>
        <v/>
      </c>
      <c r="I25" s="48">
        <f>IF($A$1="","",CHOOSE($A$1,KA1!K28,KA2!K28,KA3!K28,KA4!K28,KA5!K28,KA6!K28))</f>
        <v/>
      </c>
      <c r="J25" s="48">
        <f>IF($A$1="","",CHOOSE($A$1,KA1!L28,KA2!L28,KA3!L28,KA4!L28,KA5!L28,KA6!L28))</f>
        <v/>
      </c>
      <c r="K25" s="48">
        <f>IF($A$1="","",CHOOSE($A$1,KA1!M28,KA2!M28,KA3!M28,KA4!M28,KA5!M28,KA6!M28))</f>
        <v/>
      </c>
      <c r="L25" s="48">
        <f>IF($A$1="","",CHOOSE($A$1,KA1!N28,KA2!N28,KA3!N28,KA4!N28,KA5!N28,KA6!N28))</f>
        <v/>
      </c>
      <c r="M25" s="48">
        <f>IF($A$1="","",CHOOSE($A$1,KA1!O28,KA2!O28,KA3!O28,KA4!O28,KA5!O28,KA6!O28))</f>
        <v/>
      </c>
      <c r="N25" s="48">
        <f>IF($A$1="","",CHOOSE($A$1,KA1!P28,KA2!P28,KA3!P28,KA4!P28,KA5!P28,KA6!P28))</f>
        <v/>
      </c>
      <c r="O25" s="65">
        <f>IF($A$1="","",CHOOSE($A$1,KA1!Q28,KA2!Q28,KA3!Q28,KA4!Q28,KA5!Q28,KA6!Q28))</f>
        <v/>
      </c>
      <c r="P25" s="19">
        <f>IF($A$1="","",CHOOSE($A$1,KA1!R28,KA2!R28,KA3!R28,KA4!R28,KA5!R28,KA6!R28))</f>
        <v/>
      </c>
      <c r="Q25" s="26">
        <f>IF($A$1="","",CHOOSE($A$1,KA1!S28,KA2!S28,KA3!S28,KA4!S28,KA5!S28,KA6!S28))</f>
        <v/>
      </c>
      <c r="R25" s="26">
        <f>IF($A$1="","",T(CHOOSE($A$1,KA1!$T$28,KA2!$T$28,KA3!$T$28,KA4!$T$28,KA5!$T$28,KA6!$T$28)))</f>
        <v/>
      </c>
    </row>
    <row r="26">
      <c r="B26" s="48">
        <f>IF($A$1="","",CHOOSE($A$1,KA1!D29,KA2!D29,KA3!D29,KA4!D29,KA5!D29,KA6!D29))</f>
        <v/>
      </c>
      <c r="C26" s="48">
        <f>IF($A$1="","",CHOOSE($A$1,KA1!E29,KA2!E29,KA3!E29,KA4!E29,KA5!E29,KA6!E29))</f>
        <v/>
      </c>
      <c r="D26" s="48">
        <f>IF($A$1="","",CHOOSE($A$1,KA1!F29,KA2!F29,KA3!F29,KA4!F29,KA5!F29,KA6!F29))</f>
        <v/>
      </c>
      <c r="E26" s="48">
        <f>IF($A$1="","",CHOOSE($A$1,KA1!G29,KA2!G29,KA3!G29,KA4!G29,KA5!G29,KA6!G29))</f>
        <v/>
      </c>
      <c r="F26" s="48">
        <f>IF($A$1="","",CHOOSE($A$1,KA1!H29,KA2!H29,KA3!H29,KA4!H29,KA5!H29,KA6!H29))</f>
        <v/>
      </c>
      <c r="G26" s="48">
        <f>IF($A$1="","",CHOOSE($A$1,KA1!I29,KA2!I29,KA3!I29,KA4!I29,KA5!I29,KA6!I29))</f>
        <v/>
      </c>
      <c r="H26" s="48">
        <f>IF($A$1="","",CHOOSE($A$1,KA1!J29,KA2!J29,KA3!J29,KA4!J29,KA5!J29,KA6!J29))</f>
        <v/>
      </c>
      <c r="I26" s="48">
        <f>IF($A$1="","",CHOOSE($A$1,KA1!K29,KA2!K29,KA3!K29,KA4!K29,KA5!K29,KA6!K29))</f>
        <v/>
      </c>
      <c r="J26" s="48">
        <f>IF($A$1="","",CHOOSE($A$1,KA1!L29,KA2!L29,KA3!L29,KA4!L29,KA5!L29,KA6!L29))</f>
        <v/>
      </c>
      <c r="K26" s="48">
        <f>IF($A$1="","",CHOOSE($A$1,KA1!M29,KA2!M29,KA3!M29,KA4!M29,KA5!M29,KA6!M29))</f>
        <v/>
      </c>
      <c r="L26" s="48">
        <f>IF($A$1="","",CHOOSE($A$1,KA1!N29,KA2!N29,KA3!N29,KA4!N29,KA5!N29,KA6!N29))</f>
        <v/>
      </c>
      <c r="M26" s="48">
        <f>IF($A$1="","",CHOOSE($A$1,KA1!O29,KA2!O29,KA3!O29,KA4!O29,KA5!O29,KA6!O29))</f>
        <v/>
      </c>
      <c r="N26" s="48">
        <f>IF($A$1="","",CHOOSE($A$1,KA1!P29,KA2!P29,KA3!P29,KA4!P29,KA5!P29,KA6!P29))</f>
        <v/>
      </c>
      <c r="O26" s="65">
        <f>IF($A$1="","",CHOOSE($A$1,KA1!Q29,KA2!Q29,KA3!Q29,KA4!Q29,KA5!Q29,KA6!Q29))</f>
        <v/>
      </c>
      <c r="P26" s="19">
        <f>IF($A$1="","",CHOOSE($A$1,KA1!R29,KA2!R29,KA3!R29,KA4!R29,KA5!R29,KA6!R29))</f>
        <v/>
      </c>
      <c r="Q26" s="26">
        <f>IF($A$1="","",CHOOSE($A$1,KA1!S29,KA2!S29,KA3!S29,KA4!S29,KA5!S29,KA6!S29))</f>
        <v/>
      </c>
      <c r="R26" s="26">
        <f>IF($A$1="","",T(CHOOSE($A$1,KA1!$T$29,KA2!$T$29,KA3!$T$29,KA4!$T$29,KA5!$T$29,KA6!$T$29)))</f>
        <v/>
      </c>
    </row>
    <row r="27">
      <c r="B27" s="48">
        <f>IF($A$1="","",CHOOSE($A$1,KA1!D30,KA2!D30,KA3!D30,KA4!D30,KA5!D30,KA6!D30))</f>
        <v/>
      </c>
      <c r="C27" s="48">
        <f>IF($A$1="","",CHOOSE($A$1,KA1!E30,KA2!E30,KA3!E30,KA4!E30,KA5!E30,KA6!E30))</f>
        <v/>
      </c>
      <c r="D27" s="48">
        <f>IF($A$1="","",CHOOSE($A$1,KA1!F30,KA2!F30,KA3!F30,KA4!F30,KA5!F30,KA6!F30))</f>
        <v/>
      </c>
      <c r="E27" s="48">
        <f>IF($A$1="","",CHOOSE($A$1,KA1!G30,KA2!G30,KA3!G30,KA4!G30,KA5!G30,KA6!G30))</f>
        <v/>
      </c>
      <c r="F27" s="48">
        <f>IF($A$1="","",CHOOSE($A$1,KA1!H30,KA2!H30,KA3!H30,KA4!H30,KA5!H30,KA6!H30))</f>
        <v/>
      </c>
      <c r="G27" s="48">
        <f>IF($A$1="","",CHOOSE($A$1,KA1!I30,KA2!I30,KA3!I30,KA4!I30,KA5!I30,KA6!I30))</f>
        <v/>
      </c>
      <c r="H27" s="48">
        <f>IF($A$1="","",CHOOSE($A$1,KA1!J30,KA2!J30,KA3!J30,KA4!J30,KA5!J30,KA6!J30))</f>
        <v/>
      </c>
      <c r="I27" s="48">
        <f>IF($A$1="","",CHOOSE($A$1,KA1!K30,KA2!K30,KA3!K30,KA4!K30,KA5!K30,KA6!K30))</f>
        <v/>
      </c>
      <c r="J27" s="48">
        <f>IF($A$1="","",CHOOSE($A$1,KA1!L30,KA2!L30,KA3!L30,KA4!L30,KA5!L30,KA6!L30))</f>
        <v/>
      </c>
      <c r="K27" s="48">
        <f>IF($A$1="","",CHOOSE($A$1,KA1!M30,KA2!M30,KA3!M30,KA4!M30,KA5!M30,KA6!M30))</f>
        <v/>
      </c>
      <c r="L27" s="48">
        <f>IF($A$1="","",CHOOSE($A$1,KA1!N30,KA2!N30,KA3!N30,KA4!N30,KA5!N30,KA6!N30))</f>
        <v/>
      </c>
      <c r="M27" s="48">
        <f>IF($A$1="","",CHOOSE($A$1,KA1!O30,KA2!O30,KA3!O30,KA4!O30,KA5!O30,KA6!O30))</f>
        <v/>
      </c>
      <c r="N27" s="48">
        <f>IF($A$1="","",CHOOSE($A$1,KA1!P30,KA2!P30,KA3!P30,KA4!P30,KA5!P30,KA6!P30))</f>
        <v/>
      </c>
      <c r="O27" s="65">
        <f>IF($A$1="","",CHOOSE($A$1,KA1!Q30,KA2!Q30,KA3!Q30,KA4!Q30,KA5!Q30,KA6!Q30))</f>
        <v/>
      </c>
      <c r="P27" s="19">
        <f>IF($A$1="","",CHOOSE($A$1,KA1!R30,KA2!R30,KA3!R30,KA4!R30,KA5!R30,KA6!R30))</f>
        <v/>
      </c>
      <c r="Q27" s="26">
        <f>IF($A$1="","",CHOOSE($A$1,KA1!S30,KA2!S30,KA3!S30,KA4!S30,KA5!S30,KA6!S30))</f>
        <v/>
      </c>
      <c r="R27" s="26">
        <f>IF($A$1="","",T(CHOOSE($A$1,KA1!$T$30,KA2!$T$30,KA3!$T$30,KA4!$T$30,KA5!$T$30,KA6!$T$30)))</f>
        <v/>
      </c>
    </row>
    <row r="28">
      <c r="B28" s="48">
        <f>IF($A$1="","",CHOOSE($A$1,KA1!D31,KA2!D31,KA3!D31,KA4!D31,KA5!D31,KA6!D31))</f>
        <v/>
      </c>
      <c r="C28" s="48">
        <f>IF($A$1="","",CHOOSE($A$1,KA1!E31,KA2!E31,KA3!E31,KA4!E31,KA5!E31,KA6!E31))</f>
        <v/>
      </c>
      <c r="D28" s="48">
        <f>IF($A$1="","",CHOOSE($A$1,KA1!F31,KA2!F31,KA3!F31,KA4!F31,KA5!F31,KA6!F31))</f>
        <v/>
      </c>
      <c r="E28" s="48">
        <f>IF($A$1="","",CHOOSE($A$1,KA1!G31,KA2!G31,KA3!G31,KA4!G31,KA5!G31,KA6!G31))</f>
        <v/>
      </c>
      <c r="F28" s="48">
        <f>IF($A$1="","",CHOOSE($A$1,KA1!H31,KA2!H31,KA3!H31,KA4!H31,KA5!H31,KA6!H31))</f>
        <v/>
      </c>
      <c r="G28" s="48">
        <f>IF($A$1="","",CHOOSE($A$1,KA1!I31,KA2!I31,KA3!I31,KA4!I31,KA5!I31,KA6!I31))</f>
        <v/>
      </c>
      <c r="H28" s="48">
        <f>IF($A$1="","",CHOOSE($A$1,KA1!J31,KA2!J31,KA3!J31,KA4!J31,KA5!J31,KA6!J31))</f>
        <v/>
      </c>
      <c r="I28" s="48">
        <f>IF($A$1="","",CHOOSE($A$1,KA1!K31,KA2!K31,KA3!K31,KA4!K31,KA5!K31,KA6!K31))</f>
        <v/>
      </c>
      <c r="J28" s="48">
        <f>IF($A$1="","",CHOOSE($A$1,KA1!L31,KA2!L31,KA3!L31,KA4!L31,KA5!L31,KA6!L31))</f>
        <v/>
      </c>
      <c r="K28" s="48">
        <f>IF($A$1="","",CHOOSE($A$1,KA1!M31,KA2!M31,KA3!M31,KA4!M31,KA5!M31,KA6!M31))</f>
        <v/>
      </c>
      <c r="L28" s="48">
        <f>IF($A$1="","",CHOOSE($A$1,KA1!N31,KA2!N31,KA3!N31,KA4!N31,KA5!N31,KA6!N31))</f>
        <v/>
      </c>
      <c r="M28" s="48">
        <f>IF($A$1="","",CHOOSE($A$1,KA1!O31,KA2!O31,KA3!O31,KA4!O31,KA5!O31,KA6!O31))</f>
        <v/>
      </c>
      <c r="N28" s="48">
        <f>IF($A$1="","",CHOOSE($A$1,KA1!P31,KA2!P31,KA3!P31,KA4!P31,KA5!P31,KA6!P31))</f>
        <v/>
      </c>
      <c r="O28" s="65">
        <f>IF($A$1="","",CHOOSE($A$1,KA1!Q31,KA2!Q31,KA3!Q31,KA4!Q31,KA5!Q31,KA6!Q31))</f>
        <v/>
      </c>
      <c r="P28" s="19">
        <f>IF($A$1="","",CHOOSE($A$1,KA1!R31,KA2!R31,KA3!R31,KA4!R31,KA5!R31,KA6!R31))</f>
        <v/>
      </c>
      <c r="Q28" s="26">
        <f>IF($A$1="","",CHOOSE($A$1,KA1!S31,KA2!S31,KA3!S31,KA4!S31,KA5!S31,KA6!S31))</f>
        <v/>
      </c>
      <c r="R28" s="26">
        <f>IF($A$1="","",T(CHOOSE($A$1,KA1!$T$31,KA2!$T$31,KA3!$T$31,KA4!$T$31,KA5!$T$31,KA6!$T$31)))</f>
        <v/>
      </c>
    </row>
    <row r="29">
      <c r="B29" s="48">
        <f>IF($A$1="","",CHOOSE($A$1,KA1!D32,KA2!D32,KA3!D32,KA4!D32,KA5!D32,KA6!D32))</f>
        <v/>
      </c>
      <c r="C29" s="48">
        <f>IF($A$1="","",CHOOSE($A$1,KA1!E32,KA2!E32,KA3!E32,KA4!E32,KA5!E32,KA6!E32))</f>
        <v/>
      </c>
      <c r="D29" s="48">
        <f>IF($A$1="","",CHOOSE($A$1,KA1!F32,KA2!F32,KA3!F32,KA4!F32,KA5!F32,KA6!F32))</f>
        <v/>
      </c>
      <c r="E29" s="48">
        <f>IF($A$1="","",CHOOSE($A$1,KA1!G32,KA2!G32,KA3!G32,KA4!G32,KA5!G32,KA6!G32))</f>
        <v/>
      </c>
      <c r="F29" s="48">
        <f>IF($A$1="","",CHOOSE($A$1,KA1!H32,KA2!H32,KA3!H32,KA4!H32,KA5!H32,KA6!H32))</f>
        <v/>
      </c>
      <c r="G29" s="48">
        <f>IF($A$1="","",CHOOSE($A$1,KA1!I32,KA2!I32,KA3!I32,KA4!I32,KA5!I32,KA6!I32))</f>
        <v/>
      </c>
      <c r="H29" s="48">
        <f>IF($A$1="","",CHOOSE($A$1,KA1!J32,KA2!J32,KA3!J32,KA4!J32,KA5!J32,KA6!J32))</f>
        <v/>
      </c>
      <c r="I29" s="48">
        <f>IF($A$1="","",CHOOSE($A$1,KA1!K32,KA2!K32,KA3!K32,KA4!K32,KA5!K32,KA6!K32))</f>
        <v/>
      </c>
      <c r="J29" s="48">
        <f>IF($A$1="","",CHOOSE($A$1,KA1!L32,KA2!L32,KA3!L32,KA4!L32,KA5!L32,KA6!L32))</f>
        <v/>
      </c>
      <c r="K29" s="48">
        <f>IF($A$1="","",CHOOSE($A$1,KA1!M32,KA2!M32,KA3!M32,KA4!M32,KA5!M32,KA6!M32))</f>
        <v/>
      </c>
      <c r="L29" s="48">
        <f>IF($A$1="","",CHOOSE($A$1,KA1!N32,KA2!N32,KA3!N32,KA4!N32,KA5!N32,KA6!N32))</f>
        <v/>
      </c>
      <c r="M29" s="48">
        <f>IF($A$1="","",CHOOSE($A$1,KA1!O32,KA2!O32,KA3!O32,KA4!O32,KA5!O32,KA6!O32))</f>
        <v/>
      </c>
      <c r="N29" s="48">
        <f>IF($A$1="","",CHOOSE($A$1,KA1!P32,KA2!P32,KA3!P32,KA4!P32,KA5!P32,KA6!P32))</f>
        <v/>
      </c>
      <c r="O29" s="65">
        <f>IF($A$1="","",CHOOSE($A$1,KA1!Q32,KA2!Q32,KA3!Q32,KA4!Q32,KA5!Q32,KA6!Q32))</f>
        <v/>
      </c>
      <c r="P29" s="19">
        <f>IF($A$1="","",CHOOSE($A$1,KA1!R32,KA2!R32,KA3!R32,KA4!R32,KA5!R32,KA6!R32))</f>
        <v/>
      </c>
      <c r="Q29" s="26">
        <f>IF($A$1="","",CHOOSE($A$1,KA1!S32,KA2!S32,KA3!S32,KA4!S32,KA5!S32,KA6!S32))</f>
        <v/>
      </c>
      <c r="R29" s="26">
        <f>IF($A$1="","",T(CHOOSE($A$1,KA1!$T$32,KA2!$T$32,KA3!$T$32,KA4!$T$32,KA5!$T$32,KA6!$T$32)))</f>
        <v/>
      </c>
    </row>
    <row r="30">
      <c r="B30" s="48">
        <f>IF($A$1="","",CHOOSE($A$1,KA1!D33,KA2!D33,KA3!D33,KA4!D33,KA5!D33,KA6!D33))</f>
        <v/>
      </c>
      <c r="C30" s="48">
        <f>IF($A$1="","",CHOOSE($A$1,KA1!E33,KA2!E33,KA3!E33,KA4!E33,KA5!E33,KA6!E33))</f>
        <v/>
      </c>
      <c r="D30" s="48">
        <f>IF($A$1="","",CHOOSE($A$1,KA1!F33,KA2!F33,KA3!F33,KA4!F33,KA5!F33,KA6!F33))</f>
        <v/>
      </c>
      <c r="E30" s="48">
        <f>IF($A$1="","",CHOOSE($A$1,KA1!G33,KA2!G33,KA3!G33,KA4!G33,KA5!G33,KA6!G33))</f>
        <v/>
      </c>
      <c r="F30" s="48">
        <f>IF($A$1="","",CHOOSE($A$1,KA1!H33,KA2!H33,KA3!H33,KA4!H33,KA5!H33,KA6!H33))</f>
        <v/>
      </c>
      <c r="G30" s="48">
        <f>IF($A$1="","",CHOOSE($A$1,KA1!I33,KA2!I33,KA3!I33,KA4!I33,KA5!I33,KA6!I33))</f>
        <v/>
      </c>
      <c r="H30" s="48">
        <f>IF($A$1="","",CHOOSE($A$1,KA1!J33,KA2!J33,KA3!J33,KA4!J33,KA5!J33,KA6!J33))</f>
        <v/>
      </c>
      <c r="I30" s="48">
        <f>IF($A$1="","",CHOOSE($A$1,KA1!K33,KA2!K33,KA3!K33,KA4!K33,KA5!K33,KA6!K33))</f>
        <v/>
      </c>
      <c r="J30" s="48">
        <f>IF($A$1="","",CHOOSE($A$1,KA1!L33,KA2!L33,KA3!L33,KA4!L33,KA5!L33,KA6!L33))</f>
        <v/>
      </c>
      <c r="K30" s="48">
        <f>IF($A$1="","",CHOOSE($A$1,KA1!M33,KA2!M33,KA3!M33,KA4!M33,KA5!M33,KA6!M33))</f>
        <v/>
      </c>
      <c r="L30" s="48">
        <f>IF($A$1="","",CHOOSE($A$1,KA1!N33,KA2!N33,KA3!N33,KA4!N33,KA5!N33,KA6!N33))</f>
        <v/>
      </c>
      <c r="M30" s="48">
        <f>IF($A$1="","",CHOOSE($A$1,KA1!O33,KA2!O33,KA3!O33,KA4!O33,KA5!O33,KA6!O33))</f>
        <v/>
      </c>
      <c r="N30" s="48">
        <f>IF($A$1="","",CHOOSE($A$1,KA1!P33,KA2!P33,KA3!P33,KA4!P33,KA5!P33,KA6!P33))</f>
        <v/>
      </c>
      <c r="O30" s="65">
        <f>IF($A$1="","",CHOOSE($A$1,KA1!Q33,KA2!Q33,KA3!Q33,KA4!Q33,KA5!Q33,KA6!Q33))</f>
        <v/>
      </c>
      <c r="P30" s="19">
        <f>IF($A$1="","",CHOOSE($A$1,KA1!R33,KA2!R33,KA3!R33,KA4!R33,KA5!R33,KA6!R33))</f>
        <v/>
      </c>
      <c r="Q30" s="26">
        <f>IF($A$1="","",CHOOSE($A$1,KA1!S33,KA2!S33,KA3!S33,KA4!S33,KA5!S33,KA6!S33))</f>
        <v/>
      </c>
      <c r="R30" s="26">
        <f>IF($A$1="","",T(CHOOSE($A$1,KA1!$T$33,KA2!$T$33,KA3!$T$33,KA4!$T$33,KA5!$T$33,KA6!$T$33)))</f>
        <v/>
      </c>
    </row>
    <row r="31">
      <c r="B31" s="48">
        <f>IF($A$1="","",CHOOSE($A$1,KA1!D34,KA2!D34,KA3!D34,KA4!D34,KA5!D34,KA6!D34))</f>
        <v/>
      </c>
      <c r="C31" s="48">
        <f>IF($A$1="","",CHOOSE($A$1,KA1!E34,KA2!E34,KA3!E34,KA4!E34,KA5!E34,KA6!E34))</f>
        <v/>
      </c>
      <c r="D31" s="48">
        <f>IF($A$1="","",CHOOSE($A$1,KA1!F34,KA2!F34,KA3!F34,KA4!F34,KA5!F34,KA6!F34))</f>
        <v/>
      </c>
      <c r="E31" s="48">
        <f>IF($A$1="","",CHOOSE($A$1,KA1!G34,KA2!G34,KA3!G34,KA4!G34,KA5!G34,KA6!G34))</f>
        <v/>
      </c>
      <c r="F31" s="48">
        <f>IF($A$1="","",CHOOSE($A$1,KA1!H34,KA2!H34,KA3!H34,KA4!H34,KA5!H34,KA6!H34))</f>
        <v/>
      </c>
      <c r="G31" s="48">
        <f>IF($A$1="","",CHOOSE($A$1,KA1!I34,KA2!I34,KA3!I34,KA4!I34,KA5!I34,KA6!I34))</f>
        <v/>
      </c>
      <c r="H31" s="48">
        <f>IF($A$1="","",CHOOSE($A$1,KA1!J34,KA2!J34,KA3!J34,KA4!J34,KA5!J34,KA6!J34))</f>
        <v/>
      </c>
      <c r="I31" s="48">
        <f>IF($A$1="","",CHOOSE($A$1,KA1!K34,KA2!K34,KA3!K34,KA4!K34,KA5!K34,KA6!K34))</f>
        <v/>
      </c>
      <c r="J31" s="48">
        <f>IF($A$1="","",CHOOSE($A$1,KA1!L34,KA2!L34,KA3!L34,KA4!L34,KA5!L34,KA6!L34))</f>
        <v/>
      </c>
      <c r="K31" s="48">
        <f>IF($A$1="","",CHOOSE($A$1,KA1!M34,KA2!M34,KA3!M34,KA4!M34,KA5!M34,KA6!M34))</f>
        <v/>
      </c>
      <c r="L31" s="48">
        <f>IF($A$1="","",CHOOSE($A$1,KA1!N34,KA2!N34,KA3!N34,KA4!N34,KA5!N34,KA6!N34))</f>
        <v/>
      </c>
      <c r="M31" s="48">
        <f>IF($A$1="","",CHOOSE($A$1,KA1!O34,KA2!O34,KA3!O34,KA4!O34,KA5!O34,KA6!O34))</f>
        <v/>
      </c>
      <c r="N31" s="48">
        <f>IF($A$1="","",CHOOSE($A$1,KA1!P34,KA2!P34,KA3!P34,KA4!P34,KA5!P34,KA6!P34))</f>
        <v/>
      </c>
      <c r="O31" s="65">
        <f>IF($A$1="","",CHOOSE($A$1,KA1!Q34,KA2!Q34,KA3!Q34,KA4!Q34,KA5!Q34,KA6!Q34))</f>
        <v/>
      </c>
      <c r="P31" s="19">
        <f>IF($A$1="","",CHOOSE($A$1,KA1!R34,KA2!R34,KA3!R34,KA4!R34,KA5!R34,KA6!R34))</f>
        <v/>
      </c>
      <c r="Q31" s="26">
        <f>IF($A$1="","",CHOOSE($A$1,KA1!S34,KA2!S34,KA3!S34,KA4!S34,KA5!S34,KA6!S34))</f>
        <v/>
      </c>
      <c r="R31" s="26">
        <f>IF($A$1="","",T(CHOOSE($A$1,KA1!$T$34,KA2!$T$34,KA3!$T$34,KA4!$T$34,KA5!$T$34,KA6!$T$34)))</f>
        <v/>
      </c>
    </row>
    <row r="32">
      <c r="B32" s="48">
        <f>IF($A$1="","",CHOOSE($A$1,KA1!D35,KA2!D35,KA3!D35,KA4!D35,KA5!D35,KA6!D35))</f>
        <v/>
      </c>
      <c r="C32" s="48">
        <f>IF($A$1="","",CHOOSE($A$1,KA1!E35,KA2!E35,KA3!E35,KA4!E35,KA5!E35,KA6!E35))</f>
        <v/>
      </c>
      <c r="D32" s="48">
        <f>IF($A$1="","",CHOOSE($A$1,KA1!F35,KA2!F35,KA3!F35,KA4!F35,KA5!F35,KA6!F35))</f>
        <v/>
      </c>
      <c r="E32" s="48">
        <f>IF($A$1="","",CHOOSE($A$1,KA1!G35,KA2!G35,KA3!G35,KA4!G35,KA5!G35,KA6!G35))</f>
        <v/>
      </c>
      <c r="F32" s="48">
        <f>IF($A$1="","",CHOOSE($A$1,KA1!H35,KA2!H35,KA3!H35,KA4!H35,KA5!H35,KA6!H35))</f>
        <v/>
      </c>
      <c r="G32" s="48">
        <f>IF($A$1="","",CHOOSE($A$1,KA1!I35,KA2!I35,KA3!I35,KA4!I35,KA5!I35,KA6!I35))</f>
        <v/>
      </c>
      <c r="H32" s="48">
        <f>IF($A$1="","",CHOOSE($A$1,KA1!J35,KA2!J35,KA3!J35,KA4!J35,KA5!J35,KA6!J35))</f>
        <v/>
      </c>
      <c r="I32" s="48">
        <f>IF($A$1="","",CHOOSE($A$1,KA1!K35,KA2!K35,KA3!K35,KA4!K35,KA5!K35,KA6!K35))</f>
        <v/>
      </c>
      <c r="J32" s="48">
        <f>IF($A$1="","",CHOOSE($A$1,KA1!L35,KA2!L35,KA3!L35,KA4!L35,KA5!L35,KA6!L35))</f>
        <v/>
      </c>
      <c r="K32" s="48">
        <f>IF($A$1="","",CHOOSE($A$1,KA1!M35,KA2!M35,KA3!M35,KA4!M35,KA5!M35,KA6!M35))</f>
        <v/>
      </c>
      <c r="L32" s="48">
        <f>IF($A$1="","",CHOOSE($A$1,KA1!N35,KA2!N35,KA3!N35,KA4!N35,KA5!N35,KA6!N35))</f>
        <v/>
      </c>
      <c r="M32" s="48">
        <f>IF($A$1="","",CHOOSE($A$1,KA1!O35,KA2!O35,KA3!O35,KA4!O35,KA5!O35,KA6!O35))</f>
        <v/>
      </c>
      <c r="N32" s="48">
        <f>IF($A$1="","",CHOOSE($A$1,KA1!P35,KA2!P35,KA3!P35,KA4!P35,KA5!P35,KA6!P35))</f>
        <v/>
      </c>
      <c r="O32" s="65">
        <f>IF($A$1="","",CHOOSE($A$1,KA1!Q35,KA2!Q35,KA3!Q35,KA4!Q35,KA5!Q35,KA6!Q35))</f>
        <v/>
      </c>
      <c r="P32" s="19">
        <f>IF($A$1="","",CHOOSE($A$1,KA1!R35,KA2!R35,KA3!R35,KA4!R35,KA5!R35,KA6!R35))</f>
        <v/>
      </c>
      <c r="Q32" s="26">
        <f>IF($A$1="","",CHOOSE($A$1,KA1!S35,KA2!S35,KA3!S35,KA4!S35,KA5!S35,KA6!S35))</f>
        <v/>
      </c>
      <c r="R32" s="26">
        <f>IF($A$1="","",T(CHOOSE($A$1,KA1!$T$35,KA2!$T$35,KA3!$T$35,KA4!$T$35,KA5!$T$35,KA6!$T$35)))</f>
        <v/>
      </c>
    </row>
    <row r="33">
      <c r="B33" s="48">
        <f>IF($A$1="","",CHOOSE($A$1,KA1!D36,KA2!D36,KA3!D36,KA4!D36,KA5!D36,KA6!D36))</f>
        <v/>
      </c>
      <c r="C33" s="48">
        <f>IF($A$1="","",CHOOSE($A$1,KA1!E36,KA2!E36,KA3!E36,KA4!E36,KA5!E36,KA6!E36))</f>
        <v/>
      </c>
      <c r="D33" s="48">
        <f>IF($A$1="","",CHOOSE($A$1,KA1!F36,KA2!F36,KA3!F36,KA4!F36,KA5!F36,KA6!F36))</f>
        <v/>
      </c>
      <c r="E33" s="48">
        <f>IF($A$1="","",CHOOSE($A$1,KA1!G36,KA2!G36,KA3!G36,KA4!G36,KA5!G36,KA6!G36))</f>
        <v/>
      </c>
      <c r="F33" s="48">
        <f>IF($A$1="","",CHOOSE($A$1,KA1!H36,KA2!H36,KA3!H36,KA4!H36,KA5!H36,KA6!H36))</f>
        <v/>
      </c>
      <c r="G33" s="48">
        <f>IF($A$1="","",CHOOSE($A$1,KA1!I36,KA2!I36,KA3!I36,KA4!I36,KA5!I36,KA6!I36))</f>
        <v/>
      </c>
      <c r="H33" s="48">
        <f>IF($A$1="","",CHOOSE($A$1,KA1!J36,KA2!J36,KA3!J36,KA4!J36,KA5!J36,KA6!J36))</f>
        <v/>
      </c>
      <c r="I33" s="48">
        <f>IF($A$1="","",CHOOSE($A$1,KA1!K36,KA2!K36,KA3!K36,KA4!K36,KA5!K36,KA6!K36))</f>
        <v/>
      </c>
      <c r="J33" s="48">
        <f>IF($A$1="","",CHOOSE($A$1,KA1!L36,KA2!L36,KA3!L36,KA4!L36,KA5!L36,KA6!L36))</f>
        <v/>
      </c>
      <c r="K33" s="48">
        <f>IF($A$1="","",CHOOSE($A$1,KA1!M36,KA2!M36,KA3!M36,KA4!M36,KA5!M36,KA6!M36))</f>
        <v/>
      </c>
      <c r="L33" s="48">
        <f>IF($A$1="","",CHOOSE($A$1,KA1!N36,KA2!N36,KA3!N36,KA4!N36,KA5!N36,KA6!N36))</f>
        <v/>
      </c>
      <c r="M33" s="48">
        <f>IF($A$1="","",CHOOSE($A$1,KA1!O36,KA2!O36,KA3!O36,KA4!O36,KA5!O36,KA6!O36))</f>
        <v/>
      </c>
      <c r="N33" s="48">
        <f>IF($A$1="","",CHOOSE($A$1,KA1!P36,KA2!P36,KA3!P36,KA4!P36,KA5!P36,KA6!P36))</f>
        <v/>
      </c>
      <c r="O33" s="65">
        <f>IF($A$1="","",CHOOSE($A$1,KA1!Q36,KA2!Q36,KA3!Q36,KA4!Q36,KA5!Q36,KA6!Q36))</f>
        <v/>
      </c>
      <c r="P33" s="19">
        <f>IF($A$1="","",CHOOSE($A$1,KA1!R36,KA2!R36,KA3!R36,KA4!R36,KA5!R36,KA6!R36))</f>
        <v/>
      </c>
      <c r="Q33" s="26">
        <f>IF($A$1="","",CHOOSE($A$1,KA1!S36,KA2!S36,KA3!S36,KA4!S36,KA5!S36,KA6!S36))</f>
        <v/>
      </c>
      <c r="R33" s="26">
        <f>IF($A$1="","",T(CHOOSE($A$1,KA1!$T$36,KA2!$T$36,KA3!$T$36,KA4!$T$36,KA5!$T$36,KA6!$T$36)))</f>
        <v/>
      </c>
    </row>
    <row r="34">
      <c r="B34" s="48">
        <f>IF($A$1="","",CHOOSE($A$1,KA1!D37,KA2!D37,KA3!D37,KA4!D37,KA5!D37,KA6!D37))</f>
        <v/>
      </c>
      <c r="C34" s="48">
        <f>IF($A$1="","",CHOOSE($A$1,KA1!E37,KA2!E37,KA3!E37,KA4!E37,KA5!E37,KA6!E37))</f>
        <v/>
      </c>
      <c r="D34" s="48">
        <f>IF($A$1="","",CHOOSE($A$1,KA1!F37,KA2!F37,KA3!F37,KA4!F37,KA5!F37,KA6!F37))</f>
        <v/>
      </c>
      <c r="E34" s="48">
        <f>IF($A$1="","",CHOOSE($A$1,KA1!G37,KA2!G37,KA3!G37,KA4!G37,KA5!G37,KA6!G37))</f>
        <v/>
      </c>
      <c r="F34" s="48">
        <f>IF($A$1="","",CHOOSE($A$1,KA1!H37,KA2!H37,KA3!H37,KA4!H37,KA5!H37,KA6!H37))</f>
        <v/>
      </c>
      <c r="G34" s="48">
        <f>IF($A$1="","",CHOOSE($A$1,KA1!I37,KA2!I37,KA3!I37,KA4!I37,KA5!I37,KA6!I37))</f>
        <v/>
      </c>
      <c r="H34" s="48">
        <f>IF($A$1="","",CHOOSE($A$1,KA1!J37,KA2!J37,KA3!J37,KA4!J37,KA5!J37,KA6!J37))</f>
        <v/>
      </c>
      <c r="I34" s="48">
        <f>IF($A$1="","",CHOOSE($A$1,KA1!K37,KA2!K37,KA3!K37,KA4!K37,KA5!K37,KA6!K37))</f>
        <v/>
      </c>
      <c r="J34" s="48">
        <f>IF($A$1="","",CHOOSE($A$1,KA1!L37,KA2!L37,KA3!L37,KA4!L37,KA5!L37,KA6!L37))</f>
        <v/>
      </c>
      <c r="K34" s="48">
        <f>IF($A$1="","",CHOOSE($A$1,KA1!M37,KA2!M37,KA3!M37,KA4!M37,KA5!M37,KA6!M37))</f>
        <v/>
      </c>
      <c r="L34" s="48">
        <f>IF($A$1="","",CHOOSE($A$1,KA1!N37,KA2!N37,KA3!N37,KA4!N37,KA5!N37,KA6!N37))</f>
        <v/>
      </c>
      <c r="M34" s="48">
        <f>IF($A$1="","",CHOOSE($A$1,KA1!O37,KA2!O37,KA3!O37,KA4!O37,KA5!O37,KA6!O37))</f>
        <v/>
      </c>
      <c r="N34" s="48">
        <f>IF($A$1="","",CHOOSE($A$1,KA1!P37,KA2!P37,KA3!P37,KA4!P37,KA5!P37,KA6!P37))</f>
        <v/>
      </c>
      <c r="O34" s="65">
        <f>IF($A$1="","",CHOOSE($A$1,KA1!Q37,KA2!Q37,KA3!Q37,KA4!Q37,KA5!Q37,KA6!Q37))</f>
        <v/>
      </c>
      <c r="P34" s="19">
        <f>IF($A$1="","",CHOOSE($A$1,KA1!R37,KA2!R37,KA3!R37,KA4!R37,KA5!R37,KA6!R37))</f>
        <v/>
      </c>
      <c r="Q34" s="26">
        <f>IF($A$1="","",CHOOSE($A$1,KA1!S37,KA2!S37,KA3!S37,KA4!S37,KA5!S37,KA6!S37))</f>
        <v/>
      </c>
      <c r="R34" s="26">
        <f>IF($A$1="","",T(CHOOSE($A$1,KA1!$T$37,KA2!$T$37,KA3!$T$37,KA4!$T$37,KA5!$T$37,KA6!$T$37)))</f>
        <v/>
      </c>
    </row>
    <row r="35">
      <c r="B35" s="48">
        <f>IF($A$1="","",CHOOSE($A$1,KA1!D38,KA2!D38,KA3!D38,KA4!D38,KA5!D38,KA6!D38))</f>
        <v/>
      </c>
      <c r="C35" s="48">
        <f>IF($A$1="","",CHOOSE($A$1,KA1!E38,KA2!E38,KA3!E38,KA4!E38,KA5!E38,KA6!E38))</f>
        <v/>
      </c>
      <c r="D35" s="48">
        <f>IF($A$1="","",CHOOSE($A$1,KA1!F38,KA2!F38,KA3!F38,KA4!F38,KA5!F38,KA6!F38))</f>
        <v/>
      </c>
      <c r="E35" s="48">
        <f>IF($A$1="","",CHOOSE($A$1,KA1!G38,KA2!G38,KA3!G38,KA4!G38,KA5!G38,KA6!G38))</f>
        <v/>
      </c>
      <c r="F35" s="48">
        <f>IF($A$1="","",CHOOSE($A$1,KA1!H38,KA2!H38,KA3!H38,KA4!H38,KA5!H38,KA6!H38))</f>
        <v/>
      </c>
      <c r="G35" s="48">
        <f>IF($A$1="","",CHOOSE($A$1,KA1!I38,KA2!I38,KA3!I38,KA4!I38,KA5!I38,KA6!I38))</f>
        <v/>
      </c>
      <c r="H35" s="48">
        <f>IF($A$1="","",CHOOSE($A$1,KA1!J38,KA2!J38,KA3!J38,KA4!J38,KA5!J38,KA6!J38))</f>
        <v/>
      </c>
      <c r="I35" s="48">
        <f>IF($A$1="","",CHOOSE($A$1,KA1!K38,KA2!K38,KA3!K38,KA4!K38,KA5!K38,KA6!K38))</f>
        <v/>
      </c>
      <c r="J35" s="48">
        <f>IF($A$1="","",CHOOSE($A$1,KA1!L38,KA2!L38,KA3!L38,KA4!L38,KA5!L38,KA6!L38))</f>
        <v/>
      </c>
      <c r="K35" s="48">
        <f>IF($A$1="","",CHOOSE($A$1,KA1!M38,KA2!M38,KA3!M38,KA4!M38,KA5!M38,KA6!M38))</f>
        <v/>
      </c>
      <c r="L35" s="48">
        <f>IF($A$1="","",CHOOSE($A$1,KA1!N38,KA2!N38,KA3!N38,KA4!N38,KA5!N38,KA6!N38))</f>
        <v/>
      </c>
      <c r="M35" s="48">
        <f>IF($A$1="","",CHOOSE($A$1,KA1!O38,KA2!O38,KA3!O38,KA4!O38,KA5!O38,KA6!O38))</f>
        <v/>
      </c>
      <c r="N35" s="48">
        <f>IF($A$1="","",CHOOSE($A$1,KA1!P38,KA2!P38,KA3!P38,KA4!P38,KA5!P38,KA6!P38))</f>
        <v/>
      </c>
      <c r="O35" s="65">
        <f>IF($A$1="","",CHOOSE($A$1,KA1!Q38,KA2!Q38,KA3!Q38,KA4!Q38,KA5!Q38,KA6!Q38))</f>
        <v/>
      </c>
      <c r="P35" s="19">
        <f>IF($A$1="","",CHOOSE($A$1,KA1!R38,KA2!R38,KA3!R38,KA4!R38,KA5!R38,KA6!R38))</f>
        <v/>
      </c>
      <c r="Q35" s="26">
        <f>IF($A$1="","",CHOOSE($A$1,KA1!S38,KA2!S38,KA3!S38,KA4!S38,KA5!S38,KA6!S38))</f>
        <v/>
      </c>
      <c r="R35" s="26">
        <f>IF($A$1="","",T(CHOOSE($A$1,KA1!$T$38,KA2!$T$38,KA3!$T$38,KA4!$T$38,KA5!$T$38,KA6!$T$38)))</f>
        <v/>
      </c>
    </row>
    <row r="36">
      <c r="B36" s="48">
        <f>IF($A$1="","",CHOOSE($A$1,KA1!D39,KA2!D39,KA3!D39,KA4!D39,KA5!D39,KA6!D39))</f>
        <v/>
      </c>
      <c r="C36" s="48">
        <f>IF($A$1="","",CHOOSE($A$1,KA1!E39,KA2!E39,KA3!E39,KA4!E39,KA5!E39,KA6!E39))</f>
        <v/>
      </c>
      <c r="D36" s="48">
        <f>IF($A$1="","",CHOOSE($A$1,KA1!F39,KA2!F39,KA3!F39,KA4!F39,KA5!F39,KA6!F39))</f>
        <v/>
      </c>
      <c r="E36" s="48">
        <f>IF($A$1="","",CHOOSE($A$1,KA1!G39,KA2!G39,KA3!G39,KA4!G39,KA5!G39,KA6!G39))</f>
        <v/>
      </c>
      <c r="F36" s="48">
        <f>IF($A$1="","",CHOOSE($A$1,KA1!H39,KA2!H39,KA3!H39,KA4!H39,KA5!H39,KA6!H39))</f>
        <v/>
      </c>
      <c r="G36" s="48">
        <f>IF($A$1="","",CHOOSE($A$1,KA1!I39,KA2!I39,KA3!I39,KA4!I39,KA5!I39,KA6!I39))</f>
        <v/>
      </c>
      <c r="H36" s="48">
        <f>IF($A$1="","",CHOOSE($A$1,KA1!J39,KA2!J39,KA3!J39,KA4!J39,KA5!J39,KA6!J39))</f>
        <v/>
      </c>
      <c r="I36" s="48">
        <f>IF($A$1="","",CHOOSE($A$1,KA1!K39,KA2!K39,KA3!K39,KA4!K39,KA5!K39,KA6!K39))</f>
        <v/>
      </c>
      <c r="J36" s="48">
        <f>IF($A$1="","",CHOOSE($A$1,KA1!L39,KA2!L39,KA3!L39,KA4!L39,KA5!L39,KA6!L39))</f>
        <v/>
      </c>
      <c r="K36" s="48">
        <f>IF($A$1="","",CHOOSE($A$1,KA1!M39,KA2!M39,KA3!M39,KA4!M39,KA5!M39,KA6!M39))</f>
        <v/>
      </c>
      <c r="L36" s="48">
        <f>IF($A$1="","",CHOOSE($A$1,KA1!N39,KA2!N39,KA3!N39,KA4!N39,KA5!N39,KA6!N39))</f>
        <v/>
      </c>
      <c r="M36" s="48">
        <f>IF($A$1="","",CHOOSE($A$1,KA1!O39,KA2!O39,KA3!O39,KA4!O39,KA5!O39,KA6!O39))</f>
        <v/>
      </c>
      <c r="N36" s="48">
        <f>IF($A$1="","",CHOOSE($A$1,KA1!P39,KA2!P39,KA3!P39,KA4!P39,KA5!P39,KA6!P39))</f>
        <v/>
      </c>
      <c r="O36" s="65">
        <f>IF($A$1="","",CHOOSE($A$1,KA1!Q39,KA2!Q39,KA3!Q39,KA4!Q39,KA5!Q39,KA6!Q39))</f>
        <v/>
      </c>
      <c r="P36" s="19">
        <f>IF($A$1="","",CHOOSE($A$1,KA1!R39,KA2!R39,KA3!R39,KA4!R39,KA5!R39,KA6!R39))</f>
        <v/>
      </c>
      <c r="Q36" s="26">
        <f>IF($A$1="","",CHOOSE($A$1,KA1!S39,KA2!S39,KA3!S39,KA4!S39,KA5!S39,KA6!S39))</f>
        <v/>
      </c>
      <c r="R36" s="26">
        <f>IF($A$1="","",T(CHOOSE($A$1,KA1!$T$39,KA2!$T$39,KA3!$T$39,KA4!$T$39,KA5!$T$39,KA6!$T$39)))</f>
        <v/>
      </c>
    </row>
    <row r="37">
      <c r="B37" s="48">
        <f>IF($A$1="","",CHOOSE($A$1,KA1!D40,KA2!D40,KA3!D40,KA4!D40,KA5!D40,KA6!D40))</f>
        <v/>
      </c>
      <c r="C37" s="48">
        <f>IF($A$1="","",CHOOSE($A$1,KA1!E40,KA2!E40,KA3!E40,KA4!E40,KA5!E40,KA6!E40))</f>
        <v/>
      </c>
      <c r="D37" s="48">
        <f>IF($A$1="","",CHOOSE($A$1,KA1!F40,KA2!F40,KA3!F40,KA4!F40,KA5!F40,KA6!F40))</f>
        <v/>
      </c>
      <c r="E37" s="48">
        <f>IF($A$1="","",CHOOSE($A$1,KA1!G40,KA2!G40,KA3!G40,KA4!G40,KA5!G40,KA6!G40))</f>
        <v/>
      </c>
      <c r="F37" s="48">
        <f>IF($A$1="","",CHOOSE($A$1,KA1!H40,KA2!H40,KA3!H40,KA4!H40,KA5!H40,KA6!H40))</f>
        <v/>
      </c>
      <c r="G37" s="48">
        <f>IF($A$1="","",CHOOSE($A$1,KA1!I40,KA2!I40,KA3!I40,KA4!I40,KA5!I40,KA6!I40))</f>
        <v/>
      </c>
      <c r="H37" s="48">
        <f>IF($A$1="","",CHOOSE($A$1,KA1!J40,KA2!J40,KA3!J40,KA4!J40,KA5!J40,KA6!J40))</f>
        <v/>
      </c>
      <c r="I37" s="48">
        <f>IF($A$1="","",CHOOSE($A$1,KA1!K40,KA2!K40,KA3!K40,KA4!K40,KA5!K40,KA6!K40))</f>
        <v/>
      </c>
      <c r="J37" s="48">
        <f>IF($A$1="","",CHOOSE($A$1,KA1!L40,KA2!L40,KA3!L40,KA4!L40,KA5!L40,KA6!L40))</f>
        <v/>
      </c>
      <c r="K37" s="48">
        <f>IF($A$1="","",CHOOSE($A$1,KA1!M40,KA2!M40,KA3!M40,KA4!M40,KA5!M40,KA6!M40))</f>
        <v/>
      </c>
      <c r="L37" s="48">
        <f>IF($A$1="","",CHOOSE($A$1,KA1!N40,KA2!N40,KA3!N40,KA4!N40,KA5!N40,KA6!N40))</f>
        <v/>
      </c>
      <c r="M37" s="48">
        <f>IF($A$1="","",CHOOSE($A$1,KA1!O40,KA2!O40,KA3!O40,KA4!O40,KA5!O40,KA6!O40))</f>
        <v/>
      </c>
      <c r="N37" s="48">
        <f>IF($A$1="","",CHOOSE($A$1,KA1!P40,KA2!P40,KA3!P40,KA4!P40,KA5!P40,KA6!P40))</f>
        <v/>
      </c>
      <c r="O37" s="65">
        <f>IF($A$1="","",CHOOSE($A$1,KA1!Q40,KA2!Q40,KA3!Q40,KA4!Q40,KA5!Q40,KA6!Q40))</f>
        <v/>
      </c>
      <c r="P37" s="19">
        <f>IF($A$1="","",CHOOSE($A$1,KA1!R40,KA2!R40,KA3!R40,KA4!R40,KA5!R40,KA6!R40))</f>
        <v/>
      </c>
      <c r="Q37" s="26">
        <f>IF($A$1="","",CHOOSE($A$1,KA1!S40,KA2!S40,KA3!S40,KA4!S40,KA5!S40,KA6!S40))</f>
        <v/>
      </c>
      <c r="R37" s="26">
        <f>IF($A$1="","",T(CHOOSE($A$1,KA1!$T$40,KA2!$T$40,KA3!$T$40,KA4!$T$40,KA5!$T$40,KA6!$T$40)))</f>
        <v/>
      </c>
    </row>
    <row r="38">
      <c r="B38" s="48">
        <f>IF($A$1="","",CHOOSE($A$1,KA1!D41,KA2!D41,KA3!D41,KA4!D41,KA5!D41,KA6!D41))</f>
        <v/>
      </c>
      <c r="C38" s="48">
        <f>IF($A$1="","",CHOOSE($A$1,KA1!E41,KA2!E41,KA3!E41,KA4!E41,KA5!E41,KA6!E41))</f>
        <v/>
      </c>
      <c r="D38" s="48">
        <f>IF($A$1="","",CHOOSE($A$1,KA1!F41,KA2!F41,KA3!F41,KA4!F41,KA5!F41,KA6!F41))</f>
        <v/>
      </c>
      <c r="E38" s="48">
        <f>IF($A$1="","",CHOOSE($A$1,KA1!G41,KA2!G41,KA3!G41,KA4!G41,KA5!G41,KA6!G41))</f>
        <v/>
      </c>
      <c r="F38" s="48">
        <f>IF($A$1="","",CHOOSE($A$1,KA1!H41,KA2!H41,KA3!H41,KA4!H41,KA5!H41,KA6!H41))</f>
        <v/>
      </c>
      <c r="G38" s="48">
        <f>IF($A$1="","",CHOOSE($A$1,KA1!I41,KA2!I41,KA3!I41,KA4!I41,KA5!I41,KA6!I41))</f>
        <v/>
      </c>
      <c r="H38" s="48">
        <f>IF($A$1="","",CHOOSE($A$1,KA1!J41,KA2!J41,KA3!J41,KA4!J41,KA5!J41,KA6!J41))</f>
        <v/>
      </c>
      <c r="I38" s="48">
        <f>IF($A$1="","",CHOOSE($A$1,KA1!K41,KA2!K41,KA3!K41,KA4!K41,KA5!K41,KA6!K41))</f>
        <v/>
      </c>
      <c r="J38" s="48">
        <f>IF($A$1="","",CHOOSE($A$1,KA1!L41,KA2!L41,KA3!L41,KA4!L41,KA5!L41,KA6!L41))</f>
        <v/>
      </c>
      <c r="K38" s="48">
        <f>IF($A$1="","",CHOOSE($A$1,KA1!M41,KA2!M41,KA3!M41,KA4!M41,KA5!M41,KA6!M41))</f>
        <v/>
      </c>
      <c r="L38" s="48">
        <f>IF($A$1="","",CHOOSE($A$1,KA1!N41,KA2!N41,KA3!N41,KA4!N41,KA5!N41,KA6!N41))</f>
        <v/>
      </c>
      <c r="M38" s="48">
        <f>IF($A$1="","",CHOOSE($A$1,KA1!O41,KA2!O41,KA3!O41,KA4!O41,KA5!O41,KA6!O41))</f>
        <v/>
      </c>
      <c r="N38" s="48">
        <f>IF($A$1="","",CHOOSE($A$1,KA1!P41,KA2!P41,KA3!P41,KA4!P41,KA5!P41,KA6!P41))</f>
        <v/>
      </c>
      <c r="O38" s="65">
        <f>IF($A$1="","",CHOOSE($A$1,KA1!Q41,KA2!Q41,KA3!Q41,KA4!Q41,KA5!Q41,KA6!Q41))</f>
        <v/>
      </c>
      <c r="P38" s="19">
        <f>IF($A$1="","",CHOOSE($A$1,KA1!R41,KA2!R41,KA3!R41,KA4!R41,KA5!R41,KA6!R41))</f>
        <v/>
      </c>
      <c r="Q38" s="26">
        <f>IF($A$1="","",CHOOSE($A$1,KA1!S41,KA2!S41,KA3!S41,KA4!S41,KA5!S41,KA6!S41))</f>
        <v/>
      </c>
      <c r="R38" s="26">
        <f>IF($A$1="","",T(CHOOSE($A$1,KA1!$T$41,KA2!$T$41,KA3!$T$41,KA4!$T$41,KA5!$T$41,KA6!$T$41)))</f>
        <v/>
      </c>
    </row>
    <row r="39">
      <c r="B39" s="48">
        <f>IF($A$1="","",CHOOSE($A$1,KA1!D42,KA2!D42,KA3!D42,KA4!D42,KA5!D42,KA6!D42))</f>
        <v/>
      </c>
      <c r="C39" s="48">
        <f>IF($A$1="","",CHOOSE($A$1,KA1!E42,KA2!E42,KA3!E42,KA4!E42,KA5!E42,KA6!E42))</f>
        <v/>
      </c>
      <c r="D39" s="48">
        <f>IF($A$1="","",CHOOSE($A$1,KA1!F42,KA2!F42,KA3!F42,KA4!F42,KA5!F42,KA6!F42))</f>
        <v/>
      </c>
      <c r="E39" s="48">
        <f>IF($A$1="","",CHOOSE($A$1,KA1!G42,KA2!G42,KA3!G42,KA4!G42,KA5!G42,KA6!G42))</f>
        <v/>
      </c>
      <c r="F39" s="48">
        <f>IF($A$1="","",CHOOSE($A$1,KA1!H42,KA2!H42,KA3!H42,KA4!H42,KA5!H42,KA6!H42))</f>
        <v/>
      </c>
      <c r="G39" s="48">
        <f>IF($A$1="","",CHOOSE($A$1,KA1!I42,KA2!I42,KA3!I42,KA4!I42,KA5!I42,KA6!I42))</f>
        <v/>
      </c>
      <c r="H39" s="48">
        <f>IF($A$1="","",CHOOSE($A$1,KA1!J42,KA2!J42,KA3!J42,KA4!J42,KA5!J42,KA6!J42))</f>
        <v/>
      </c>
      <c r="I39" s="48">
        <f>IF($A$1="","",CHOOSE($A$1,KA1!K42,KA2!K42,KA3!K42,KA4!K42,KA5!K42,KA6!K42))</f>
        <v/>
      </c>
      <c r="J39" s="48">
        <f>IF($A$1="","",CHOOSE($A$1,KA1!L42,KA2!L42,KA3!L42,KA4!L42,KA5!L42,KA6!L42))</f>
        <v/>
      </c>
      <c r="K39" s="48">
        <f>IF($A$1="","",CHOOSE($A$1,KA1!M42,KA2!M42,KA3!M42,KA4!M42,KA5!M42,KA6!M42))</f>
        <v/>
      </c>
      <c r="L39" s="48">
        <f>IF($A$1="","",CHOOSE($A$1,KA1!N42,KA2!N42,KA3!N42,KA4!N42,KA5!N42,KA6!N42))</f>
        <v/>
      </c>
      <c r="M39" s="48">
        <f>IF($A$1="","",CHOOSE($A$1,KA1!O42,KA2!O42,KA3!O42,KA4!O42,KA5!O42,KA6!O42))</f>
        <v/>
      </c>
      <c r="N39" s="48">
        <f>IF($A$1="","",CHOOSE($A$1,KA1!P42,KA2!P42,KA3!P42,KA4!P42,KA5!P42,KA6!P42))</f>
        <v/>
      </c>
      <c r="O39" s="65">
        <f>IF($A$1="","",CHOOSE($A$1,KA1!Q42,KA2!Q42,KA3!Q42,KA4!Q42,KA5!Q42,KA6!Q42))</f>
        <v/>
      </c>
      <c r="P39" s="19">
        <f>IF($A$1="","",CHOOSE($A$1,KA1!R42,KA2!R42,KA3!R42,KA4!R42,KA5!R42,KA6!R42))</f>
        <v/>
      </c>
      <c r="Q39" s="26">
        <f>IF($A$1="","",CHOOSE($A$1,KA1!S42,KA2!S42,KA3!S42,KA4!S42,KA5!S42,KA6!S42))</f>
        <v/>
      </c>
      <c r="R39" s="26">
        <f>IF($A$1="","",T(CHOOSE($A$1,KA1!$T$42,KA2!$T$42,KA3!$T$42,KA4!$T$42,KA5!$T$42,KA6!$T$42)))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  <pageSetup paperSize="9"/>
</worksheet>
</file>

<file path=xl/worksheets/sheet19.xml><?xml version="1.0" encoding="utf-8"?>
<worksheet xmlns="http://schemas.openxmlformats.org/spreadsheetml/2006/main">
  <sheetPr>
    <tabColor rgb="00E3B778"/>
    <outlinePr summaryBelow="1" summaryRight="1"/>
    <pageSetUpPr/>
  </sheetPr>
  <dimension ref="A1:O595"/>
  <sheetViews>
    <sheetView showGridLines="0" zoomScale="100" workbookViewId="0">
      <selection activeCell="A1" sqref="A1"/>
    </sheetView>
  </sheetViews>
  <sheetFormatPr baseColWidth="8" defaultRowHeight="17"/>
  <cols>
    <col width="2" customWidth="1" min="1" max="1"/>
    <col width="13" customWidth="1" min="2" max="2"/>
    <col width="6.2" customWidth="1" min="3" max="3"/>
    <col width="6.2" customWidth="1" min="4" max="4"/>
    <col width="6.2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8" customWidth="1" min="15" max="15"/>
  </cols>
  <sheetData>
    <row r="1" ht="26" customHeight="1">
      <c r="A1" s="1" t="inlineStr">
        <is>
          <t>Rückmeldebögen · Klausur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8">
        <f>HYPERLINK("#Start!A1","⌂")</f>
        <v/>
      </c>
    </row>
    <row r="2">
      <c r="B2" s="53" t="inlineStr">
        <is>
          <t>Nummer wählen:</t>
        </is>
      </c>
      <c r="C2" s="51" t="n">
        <v>1</v>
      </c>
      <c r="E2" s="12" t="inlineStr">
        <is>
          <t>Drucken = ein Bogen je Schüler/in. Leere Plätze bleiben leer.</t>
        </is>
      </c>
    </row>
    <row r="3" ht="6" customHeight="1">
      <c r="B3" s="70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2" t="n"/>
    </row>
    <row r="4" ht="20" customHeight="1">
      <c r="B4" s="73">
        <f>IF(INDEX(Klassenliste!$B$6:$B$40,1)&lt;&gt;0,"Klausur "&amp;$C$2&amp;" · "&amp;Klassenliste!$E$2&amp;" · "&amp;Klassenliste!$J$2&amp;IF(RB_Daten!$A$3="",""," · "&amp;RB_Daten!$A$3),"")</f>
        <v/>
      </c>
      <c r="J4" s="12">
        <f>IF(INDEX(Klassenliste!$B$6:$B$40,1)&lt;&gt;0,IF(RB_Daten!$A$2="","Datum: ______","Datum: "&amp;IFERROR(TEXT(RB_Daten!$A$2,"TT.MM.JJJJ"),RB_Daten!$A$2)),"")</f>
        <v/>
      </c>
      <c r="O4" s="74" t="n"/>
    </row>
    <row r="5" ht="20" customHeight="1">
      <c r="B5" s="75">
        <f>IF(INDEX(Klassenliste!$B$6:$B$40,1)&lt;&gt;0,"Name: "&amp;INDEX(Klassenliste!$C$6:$C$40,1)&amp;" "&amp;INDEX(Klassenliste!$B$6:$B$40,1),"")</f>
        <v/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74" t="n"/>
    </row>
    <row r="6" ht="8" customHeight="1">
      <c r="B6" s="76" t="n"/>
      <c r="O6" s="74" t="n"/>
    </row>
    <row r="7" ht="18" customHeight="1">
      <c r="B7" s="77">
        <f>IF(INDEX(Klassenliste!$B$6:$B$40,1)&lt;&gt;0,"Aufgabe","")</f>
        <v/>
      </c>
      <c r="C7" s="78">
        <f>IF(AND(INDEX(Klassenliste!$B$6:$B$40,1)&lt;&gt;0,NOT(OR(RB_Daten!B$3="",RB_Daten!B$3=0))),RB_Daten!B$2,"")</f>
        <v/>
      </c>
      <c r="D7" s="78">
        <f>IF(AND(INDEX(Klassenliste!$B$6:$B$40,1)&lt;&gt;0,NOT(OR(RB_Daten!C$3="",RB_Daten!C$3=0))),RB_Daten!C$2,"")</f>
        <v/>
      </c>
      <c r="E7" s="78">
        <f>IF(AND(INDEX(Klassenliste!$B$6:$B$40,1)&lt;&gt;0,NOT(OR(RB_Daten!D$3="",RB_Daten!D$3=0))),RB_Daten!D$2,"")</f>
        <v/>
      </c>
      <c r="F7" s="78">
        <f>IF(AND(INDEX(Klassenliste!$B$6:$B$40,1)&lt;&gt;0,NOT(OR(RB_Daten!E$3="",RB_Daten!E$3=0))),RB_Daten!E$2,"")</f>
        <v/>
      </c>
      <c r="G7" s="78">
        <f>IF(AND(INDEX(Klassenliste!$B$6:$B$40,1)&lt;&gt;0,NOT(OR(RB_Daten!F$3="",RB_Daten!F$3=0))),RB_Daten!F$2,"")</f>
        <v/>
      </c>
      <c r="H7" s="78">
        <f>IF(AND(INDEX(Klassenliste!$B$6:$B$40,1)&lt;&gt;0,NOT(OR(RB_Daten!G$3="",RB_Daten!G$3=0))),RB_Daten!G$2,"")</f>
        <v/>
      </c>
      <c r="I7" s="78">
        <f>IF(AND(INDEX(Klassenliste!$B$6:$B$40,1)&lt;&gt;0,NOT(OR(RB_Daten!H$3="",RB_Daten!H$3=0))),RB_Daten!H$2,"")</f>
        <v/>
      </c>
      <c r="J7" s="78">
        <f>IF(AND(INDEX(Klassenliste!$B$6:$B$40,1)&lt;&gt;0,NOT(OR(RB_Daten!I$3="",RB_Daten!I$3=0))),RB_Daten!I$2,"")</f>
        <v/>
      </c>
      <c r="K7" s="78">
        <f>IF(AND(INDEX(Klassenliste!$B$6:$B$40,1)&lt;&gt;0,NOT(OR(RB_Daten!J$3="",RB_Daten!J$3=0))),RB_Daten!J$2,"")</f>
        <v/>
      </c>
      <c r="L7" s="78">
        <f>IF(AND(INDEX(Klassenliste!$B$6:$B$40,1)&lt;&gt;0,NOT(OR(RB_Daten!K$3="",RB_Daten!K$3=0))),RB_Daten!K$2,"")</f>
        <v/>
      </c>
      <c r="M7" s="78">
        <f>IF(AND(INDEX(Klassenliste!$B$6:$B$40,1)&lt;&gt;0,NOT(OR(RB_Daten!L$3="",RB_Daten!L$3=0))),RB_Daten!L$2,"")</f>
        <v/>
      </c>
      <c r="N7" s="78">
        <f>IF(AND(INDEX(Klassenliste!$B$6:$B$40,1)&lt;&gt;0,NOT(OR(RB_Daten!M$3="",RB_Daten!M$3=0))),RB_Daten!M$2,"")</f>
        <v/>
      </c>
      <c r="O7" s="79">
        <f>IF(INDEX(Klassenliste!$B$6:$B$40,1)&lt;&gt;0,"Gesamt","")</f>
        <v/>
      </c>
    </row>
    <row r="8" ht="18" customHeight="1">
      <c r="B8" s="80">
        <f>IF(INDEX(Klassenliste!$B$6:$B$40,1)&lt;&gt;0,"max. Punkte","")</f>
        <v/>
      </c>
      <c r="C8" s="81">
        <f>IF(AND(INDEX(Klassenliste!$B$6:$B$40,1)&lt;&gt;0,NOT(OR(RB_Daten!B$3="",RB_Daten!B$3=0))),RB_Daten!B$3,"")</f>
        <v/>
      </c>
      <c r="D8" s="81">
        <f>IF(AND(INDEX(Klassenliste!$B$6:$B$40,1)&lt;&gt;0,NOT(OR(RB_Daten!C$3="",RB_Daten!C$3=0))),RB_Daten!C$3,"")</f>
        <v/>
      </c>
      <c r="E8" s="81">
        <f>IF(AND(INDEX(Klassenliste!$B$6:$B$40,1)&lt;&gt;0,NOT(OR(RB_Daten!D$3="",RB_Daten!D$3=0))),RB_Daten!D$3,"")</f>
        <v/>
      </c>
      <c r="F8" s="81">
        <f>IF(AND(INDEX(Klassenliste!$B$6:$B$40,1)&lt;&gt;0,NOT(OR(RB_Daten!E$3="",RB_Daten!E$3=0))),RB_Daten!E$3,"")</f>
        <v/>
      </c>
      <c r="G8" s="81">
        <f>IF(AND(INDEX(Klassenliste!$B$6:$B$40,1)&lt;&gt;0,NOT(OR(RB_Daten!F$3="",RB_Daten!F$3=0))),RB_Daten!F$3,"")</f>
        <v/>
      </c>
      <c r="H8" s="81">
        <f>IF(AND(INDEX(Klassenliste!$B$6:$B$40,1)&lt;&gt;0,NOT(OR(RB_Daten!G$3="",RB_Daten!G$3=0))),RB_Daten!G$3,"")</f>
        <v/>
      </c>
      <c r="I8" s="81">
        <f>IF(AND(INDEX(Klassenliste!$B$6:$B$40,1)&lt;&gt;0,NOT(OR(RB_Daten!H$3="",RB_Daten!H$3=0))),RB_Daten!H$3,"")</f>
        <v/>
      </c>
      <c r="J8" s="81">
        <f>IF(AND(INDEX(Klassenliste!$B$6:$B$40,1)&lt;&gt;0,NOT(OR(RB_Daten!I$3="",RB_Daten!I$3=0))),RB_Daten!I$3,"")</f>
        <v/>
      </c>
      <c r="K8" s="81">
        <f>IF(AND(INDEX(Klassenliste!$B$6:$B$40,1)&lt;&gt;0,NOT(OR(RB_Daten!J$3="",RB_Daten!J$3=0))),RB_Daten!J$3,"")</f>
        <v/>
      </c>
      <c r="L8" s="81">
        <f>IF(AND(INDEX(Klassenliste!$B$6:$B$40,1)&lt;&gt;0,NOT(OR(RB_Daten!K$3="",RB_Daten!K$3=0))),RB_Daten!K$3,"")</f>
        <v/>
      </c>
      <c r="M8" s="81">
        <f>IF(AND(INDEX(Klassenliste!$B$6:$B$40,1)&lt;&gt;0,NOT(OR(RB_Daten!L$3="",RB_Daten!L$3=0))),RB_Daten!L$3,"")</f>
        <v/>
      </c>
      <c r="N8" s="81">
        <f>IF(AND(INDEX(Klassenliste!$B$6:$B$40,1)&lt;&gt;0,NOT(OR(RB_Daten!M$3="",RB_Daten!M$3=0))),RB_Daten!M$3,"")</f>
        <v/>
      </c>
      <c r="O8" s="82">
        <f>IF(INDEX(Klassenliste!$B$6:$B$40,1)&lt;&gt;0,IF(RB_Daten!$A$4="","",RB_Daten!$A$4),"")</f>
        <v/>
      </c>
    </row>
    <row r="9" ht="18" customHeight="1">
      <c r="B9" s="83">
        <f>IF(INDEX(Klassenliste!$B$6:$B$40,1)&lt;&gt;0,"erreicht","")</f>
        <v/>
      </c>
      <c r="C9" s="84">
        <f>IF(AND(INDEX(Klassenliste!$B$6:$B$40,1)&lt;&gt;0,NOT(OR(RB_Daten!B$3="",RB_Daten!B$3=0))),IF(RB_Daten!B$5="","",RB_Daten!B$5),"")</f>
        <v/>
      </c>
      <c r="D9" s="84">
        <f>IF(AND(INDEX(Klassenliste!$B$6:$B$40,1)&lt;&gt;0,NOT(OR(RB_Daten!C$3="",RB_Daten!C$3=0))),IF(RB_Daten!C$5="","",RB_Daten!C$5),"")</f>
        <v/>
      </c>
      <c r="E9" s="84">
        <f>IF(AND(INDEX(Klassenliste!$B$6:$B$40,1)&lt;&gt;0,NOT(OR(RB_Daten!D$3="",RB_Daten!D$3=0))),IF(RB_Daten!D$5="","",RB_Daten!D$5),"")</f>
        <v/>
      </c>
      <c r="F9" s="84">
        <f>IF(AND(INDEX(Klassenliste!$B$6:$B$40,1)&lt;&gt;0,NOT(OR(RB_Daten!E$3="",RB_Daten!E$3=0))),IF(RB_Daten!E$5="","",RB_Daten!E$5),"")</f>
        <v/>
      </c>
      <c r="G9" s="84">
        <f>IF(AND(INDEX(Klassenliste!$B$6:$B$40,1)&lt;&gt;0,NOT(OR(RB_Daten!F$3="",RB_Daten!F$3=0))),IF(RB_Daten!F$5="","",RB_Daten!F$5),"")</f>
        <v/>
      </c>
      <c r="H9" s="84">
        <f>IF(AND(INDEX(Klassenliste!$B$6:$B$40,1)&lt;&gt;0,NOT(OR(RB_Daten!G$3="",RB_Daten!G$3=0))),IF(RB_Daten!G$5="","",RB_Daten!G$5),"")</f>
        <v/>
      </c>
      <c r="I9" s="84">
        <f>IF(AND(INDEX(Klassenliste!$B$6:$B$40,1)&lt;&gt;0,NOT(OR(RB_Daten!H$3="",RB_Daten!H$3=0))),IF(RB_Daten!H$5="","",RB_Daten!H$5),"")</f>
        <v/>
      </c>
      <c r="J9" s="84">
        <f>IF(AND(INDEX(Klassenliste!$B$6:$B$40,1)&lt;&gt;0,NOT(OR(RB_Daten!I$3="",RB_Daten!I$3=0))),IF(RB_Daten!I$5="","",RB_Daten!I$5),"")</f>
        <v/>
      </c>
      <c r="K9" s="84">
        <f>IF(AND(INDEX(Klassenliste!$B$6:$B$40,1)&lt;&gt;0,NOT(OR(RB_Daten!J$3="",RB_Daten!J$3=0))),IF(RB_Daten!J$5="","",RB_Daten!J$5),"")</f>
        <v/>
      </c>
      <c r="L9" s="84">
        <f>IF(AND(INDEX(Klassenliste!$B$6:$B$40,1)&lt;&gt;0,NOT(OR(RB_Daten!K$3="",RB_Daten!K$3=0))),IF(RB_Daten!K$5="","",RB_Daten!K$5),"")</f>
        <v/>
      </c>
      <c r="M9" s="84">
        <f>IF(AND(INDEX(Klassenliste!$B$6:$B$40,1)&lt;&gt;0,NOT(OR(RB_Daten!L$3="",RB_Daten!L$3=0))),IF(RB_Daten!L$5="","",RB_Daten!L$5),"")</f>
        <v/>
      </c>
      <c r="N9" s="84">
        <f>IF(AND(INDEX(Klassenliste!$B$6:$B$40,1)&lt;&gt;0,NOT(OR(RB_Daten!M$3="",RB_Daten!M$3=0))),IF(RB_Daten!M$5="","",RB_Daten!M$5),"")</f>
        <v/>
      </c>
      <c r="O9" s="85">
        <f>IF(INDEX(Klassenliste!$B$6:$B$40,1)&lt;&gt;0,IF(RB_Daten!$N5="","",RB_Daten!$N5),"")</f>
        <v/>
      </c>
    </row>
    <row r="10" ht="10" customHeight="1">
      <c r="B10" s="76" t="n"/>
      <c r="O10" s="74" t="n"/>
    </row>
    <row r="11" ht="24" customHeight="1">
      <c r="B11" s="73">
        <f>IF(INDEX(Klassenliste!$B$6:$B$40,1)&lt;&gt;0,IF(RB_Daten!$O5="","Ergebnis: –","Ergebnis: "&amp;ROUND(RB_Daten!$O5*100,1)&amp;" %"),"")</f>
        <v/>
      </c>
      <c r="F11" s="86">
        <f>IF(INDEX(Klassenliste!$B$6:$B$40,1)&lt;&gt;0,IF(RB_Daten!$P5="","Punkte: –","Punkte: "&amp;RB_Daten!$P5&amp;"  ("&amp;RB_Daten!$Q5&amp;")"),"")</f>
        <v/>
      </c>
      <c r="O11" s="74" t="n"/>
    </row>
    <row r="12" ht="16" customHeight="1">
      <c r="B12" s="87">
        <f>IF(INDEX(Klassenliste!$B$6:$B$40,1)&lt;&gt;0,"Notenschlüssel:","")</f>
        <v/>
      </c>
      <c r="C12" s="46">
        <f>IF(INDEX(Klassenliste!$B$6:$B$40,1)&lt;&gt;0,"Note 1","")</f>
        <v/>
      </c>
      <c r="D12" s="46">
        <f>IF(INDEX(Klassenliste!$B$6:$B$40,1)&lt;&gt;0,"Note 2","")</f>
        <v/>
      </c>
      <c r="E12" s="46">
        <f>IF(INDEX(Klassenliste!$B$6:$B$40,1)&lt;&gt;0,"Note 3","")</f>
        <v/>
      </c>
      <c r="F12" s="46">
        <f>IF(INDEX(Klassenliste!$B$6:$B$40,1)&lt;&gt;0,"Note 4","")</f>
        <v/>
      </c>
      <c r="G12" s="46">
        <f>IF(INDEX(Klassenliste!$B$6:$B$40,1)&lt;&gt;0,"Note 5","")</f>
        <v/>
      </c>
      <c r="H12" s="46">
        <f>IF(INDEX(Klassenliste!$B$6:$B$40,1)&lt;&gt;0,"Note 6","")</f>
        <v/>
      </c>
      <c r="O12" s="74" t="n"/>
    </row>
    <row r="13" ht="16" customHeight="1">
      <c r="B13" s="87">
        <f>IF(INDEX(Klassenliste!$B$6:$B$40,1)&lt;&gt;0,"ab Punkten:","")</f>
        <v/>
      </c>
      <c r="C13" s="88">
        <f>IF(AND(INDEX(Klassenliste!$B$6:$B$40,1)&lt;&gt;0,RB_Daten!$A$4&lt;&gt;""),CEILING(Notentabelle!$C$17*RB_Daten!$A$4,0.5),"")</f>
        <v/>
      </c>
      <c r="D13" s="88">
        <f>IF(AND(INDEX(Klassenliste!$B$6:$B$40,1)&lt;&gt;0,RB_Daten!$A$4&lt;&gt;""),CEILING(Notentabelle!$C$14*RB_Daten!$A$4,0.5),"")</f>
        <v/>
      </c>
      <c r="E13" s="88">
        <f>IF(AND(INDEX(Klassenliste!$B$6:$B$40,1)&lt;&gt;0,RB_Daten!$A$4&lt;&gt;""),CEILING(Notentabelle!$C$11*RB_Daten!$A$4,0.5),"")</f>
        <v/>
      </c>
      <c r="F13" s="88">
        <f>IF(AND(INDEX(Klassenliste!$B$6:$B$40,1)&lt;&gt;0,RB_Daten!$A$4&lt;&gt;""),CEILING(Notentabelle!$C$8*RB_Daten!$A$4,0.5),"")</f>
        <v/>
      </c>
      <c r="G13" s="88">
        <f>IF(AND(INDEX(Klassenliste!$B$6:$B$40,1)&lt;&gt;0,RB_Daten!$A$4&lt;&gt;""),CEILING(Notentabelle!$C$5*RB_Daten!$A$4,0.5),"")</f>
        <v/>
      </c>
      <c r="H13" s="88">
        <f>IF(AND(INDEX(Klassenliste!$B$6:$B$40,1)&lt;&gt;0,RB_Daten!$A$4&lt;&gt;""),CEILING(0*RB_Daten!$A$4,0.5),"")</f>
        <v/>
      </c>
      <c r="O13" s="74" t="n"/>
    </row>
    <row r="14" ht="14" customHeight="1">
      <c r="B14" s="76" t="n"/>
      <c r="O14" s="74" t="n"/>
    </row>
    <row r="15" ht="110" customHeight="1">
      <c r="B15" s="89">
        <f>IF(INDEX(Klassenliste!$B$6:$B$40,1)&lt;&gt;0,"Lob / Hinweis:","")</f>
        <v/>
      </c>
      <c r="C15" s="90">
        <f>IF(INDEX(Klassenliste!$B$6:$B$40,1)&lt;&gt;0,RB_Daten!$R$5,"")</f>
        <v/>
      </c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74" t="n"/>
    </row>
    <row r="16" ht="22" customHeight="1">
      <c r="B16" s="87">
        <f>IF(INDEX(Klassenliste!$B$6:$B$40,1)&lt;&gt;0,"Unterschrift Erziehungsberechtigte/r:","")</f>
        <v/>
      </c>
      <c r="F16" s="92" t="n"/>
      <c r="G16" s="92" t="n"/>
      <c r="H16" s="92" t="n"/>
      <c r="I16" s="92" t="n"/>
      <c r="O16" s="74" t="n"/>
    </row>
    <row r="17" ht="8" customHeight="1">
      <c r="B17" s="93" t="n"/>
      <c r="C17" s="94" t="n"/>
      <c r="D17" s="94" t="n"/>
      <c r="E17" s="94" t="n"/>
      <c r="F17" s="94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5" t="n"/>
    </row>
    <row r="18" ht="27.5" customHeight="1"/>
    <row r="19" ht="27.5" customHeight="1"/>
    <row r="20" ht="6" customHeight="1">
      <c r="B20" s="70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  <c r="N20" s="71" t="n"/>
      <c r="O20" s="72" t="n"/>
    </row>
    <row r="21" ht="20" customHeight="1">
      <c r="B21" s="73">
        <f>IF(INDEX(Klassenliste!$B$6:$B$40,2)&lt;&gt;0,"Klausur "&amp;$C$2&amp;" · "&amp;Klassenliste!$E$2&amp;" · "&amp;Klassenliste!$J$2&amp;IF(RB_Daten!$A$3="",""," · "&amp;RB_Daten!$A$3),"")</f>
        <v/>
      </c>
      <c r="J21" s="12">
        <f>IF(INDEX(Klassenliste!$B$6:$B$40,2)&lt;&gt;0,IF(RB_Daten!$A$2="","Datum: ______","Datum: "&amp;IFERROR(TEXT(RB_Daten!$A$2,"TT.MM.JJJJ"),RB_Daten!$A$2)),"")</f>
        <v/>
      </c>
      <c r="O21" s="74" t="n"/>
    </row>
    <row r="22" ht="20" customHeight="1">
      <c r="B22" s="75">
        <f>IF(INDEX(Klassenliste!$B$6:$B$40,2)&lt;&gt;0,"Name: "&amp;INDEX(Klassenliste!$C$6:$C$40,2)&amp;" "&amp;INDEX(Klassenliste!$B$6:$B$40,2),"")</f>
        <v/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4" t="n"/>
    </row>
    <row r="23" ht="8" customHeight="1">
      <c r="B23" s="76" t="n"/>
      <c r="O23" s="74" t="n"/>
    </row>
    <row r="24" ht="18" customHeight="1">
      <c r="B24" s="77">
        <f>IF(INDEX(Klassenliste!$B$6:$B$40,2)&lt;&gt;0,"Aufgabe","")</f>
        <v/>
      </c>
      <c r="C24" s="78">
        <f>IF(AND(INDEX(Klassenliste!$B$6:$B$40,2)&lt;&gt;0,NOT(OR(RB_Daten!B$3="",RB_Daten!B$3=0))),RB_Daten!B$2,"")</f>
        <v/>
      </c>
      <c r="D24" s="78">
        <f>IF(AND(INDEX(Klassenliste!$B$6:$B$40,2)&lt;&gt;0,NOT(OR(RB_Daten!C$3="",RB_Daten!C$3=0))),RB_Daten!C$2,"")</f>
        <v/>
      </c>
      <c r="E24" s="78">
        <f>IF(AND(INDEX(Klassenliste!$B$6:$B$40,2)&lt;&gt;0,NOT(OR(RB_Daten!D$3="",RB_Daten!D$3=0))),RB_Daten!D$2,"")</f>
        <v/>
      </c>
      <c r="F24" s="78">
        <f>IF(AND(INDEX(Klassenliste!$B$6:$B$40,2)&lt;&gt;0,NOT(OR(RB_Daten!E$3="",RB_Daten!E$3=0))),RB_Daten!E$2,"")</f>
        <v/>
      </c>
      <c r="G24" s="78">
        <f>IF(AND(INDEX(Klassenliste!$B$6:$B$40,2)&lt;&gt;0,NOT(OR(RB_Daten!F$3="",RB_Daten!F$3=0))),RB_Daten!F$2,"")</f>
        <v/>
      </c>
      <c r="H24" s="78">
        <f>IF(AND(INDEX(Klassenliste!$B$6:$B$40,2)&lt;&gt;0,NOT(OR(RB_Daten!G$3="",RB_Daten!G$3=0))),RB_Daten!G$2,"")</f>
        <v/>
      </c>
      <c r="I24" s="78">
        <f>IF(AND(INDEX(Klassenliste!$B$6:$B$40,2)&lt;&gt;0,NOT(OR(RB_Daten!H$3="",RB_Daten!H$3=0))),RB_Daten!H$2,"")</f>
        <v/>
      </c>
      <c r="J24" s="78">
        <f>IF(AND(INDEX(Klassenliste!$B$6:$B$40,2)&lt;&gt;0,NOT(OR(RB_Daten!I$3="",RB_Daten!I$3=0))),RB_Daten!I$2,"")</f>
        <v/>
      </c>
      <c r="K24" s="78">
        <f>IF(AND(INDEX(Klassenliste!$B$6:$B$40,2)&lt;&gt;0,NOT(OR(RB_Daten!J$3="",RB_Daten!J$3=0))),RB_Daten!J$2,"")</f>
        <v/>
      </c>
      <c r="L24" s="78">
        <f>IF(AND(INDEX(Klassenliste!$B$6:$B$40,2)&lt;&gt;0,NOT(OR(RB_Daten!K$3="",RB_Daten!K$3=0))),RB_Daten!K$2,"")</f>
        <v/>
      </c>
      <c r="M24" s="78">
        <f>IF(AND(INDEX(Klassenliste!$B$6:$B$40,2)&lt;&gt;0,NOT(OR(RB_Daten!L$3="",RB_Daten!L$3=0))),RB_Daten!L$2,"")</f>
        <v/>
      </c>
      <c r="N24" s="78">
        <f>IF(AND(INDEX(Klassenliste!$B$6:$B$40,2)&lt;&gt;0,NOT(OR(RB_Daten!M$3="",RB_Daten!M$3=0))),RB_Daten!M$2,"")</f>
        <v/>
      </c>
      <c r="O24" s="79">
        <f>IF(INDEX(Klassenliste!$B$6:$B$40,2)&lt;&gt;0,"Gesamt","")</f>
        <v/>
      </c>
    </row>
    <row r="25" ht="18" customHeight="1">
      <c r="B25" s="80">
        <f>IF(INDEX(Klassenliste!$B$6:$B$40,2)&lt;&gt;0,"max. Punkte","")</f>
        <v/>
      </c>
      <c r="C25" s="81">
        <f>IF(AND(INDEX(Klassenliste!$B$6:$B$40,2)&lt;&gt;0,NOT(OR(RB_Daten!B$3="",RB_Daten!B$3=0))),RB_Daten!B$3,"")</f>
        <v/>
      </c>
      <c r="D25" s="81">
        <f>IF(AND(INDEX(Klassenliste!$B$6:$B$40,2)&lt;&gt;0,NOT(OR(RB_Daten!C$3="",RB_Daten!C$3=0))),RB_Daten!C$3,"")</f>
        <v/>
      </c>
      <c r="E25" s="81">
        <f>IF(AND(INDEX(Klassenliste!$B$6:$B$40,2)&lt;&gt;0,NOT(OR(RB_Daten!D$3="",RB_Daten!D$3=0))),RB_Daten!D$3,"")</f>
        <v/>
      </c>
      <c r="F25" s="81">
        <f>IF(AND(INDEX(Klassenliste!$B$6:$B$40,2)&lt;&gt;0,NOT(OR(RB_Daten!E$3="",RB_Daten!E$3=0))),RB_Daten!E$3,"")</f>
        <v/>
      </c>
      <c r="G25" s="81">
        <f>IF(AND(INDEX(Klassenliste!$B$6:$B$40,2)&lt;&gt;0,NOT(OR(RB_Daten!F$3="",RB_Daten!F$3=0))),RB_Daten!F$3,"")</f>
        <v/>
      </c>
      <c r="H25" s="81">
        <f>IF(AND(INDEX(Klassenliste!$B$6:$B$40,2)&lt;&gt;0,NOT(OR(RB_Daten!G$3="",RB_Daten!G$3=0))),RB_Daten!G$3,"")</f>
        <v/>
      </c>
      <c r="I25" s="81">
        <f>IF(AND(INDEX(Klassenliste!$B$6:$B$40,2)&lt;&gt;0,NOT(OR(RB_Daten!H$3="",RB_Daten!H$3=0))),RB_Daten!H$3,"")</f>
        <v/>
      </c>
      <c r="J25" s="81">
        <f>IF(AND(INDEX(Klassenliste!$B$6:$B$40,2)&lt;&gt;0,NOT(OR(RB_Daten!I$3="",RB_Daten!I$3=0))),RB_Daten!I$3,"")</f>
        <v/>
      </c>
      <c r="K25" s="81">
        <f>IF(AND(INDEX(Klassenliste!$B$6:$B$40,2)&lt;&gt;0,NOT(OR(RB_Daten!J$3="",RB_Daten!J$3=0))),RB_Daten!J$3,"")</f>
        <v/>
      </c>
      <c r="L25" s="81">
        <f>IF(AND(INDEX(Klassenliste!$B$6:$B$40,2)&lt;&gt;0,NOT(OR(RB_Daten!K$3="",RB_Daten!K$3=0))),RB_Daten!K$3,"")</f>
        <v/>
      </c>
      <c r="M25" s="81">
        <f>IF(AND(INDEX(Klassenliste!$B$6:$B$40,2)&lt;&gt;0,NOT(OR(RB_Daten!L$3="",RB_Daten!L$3=0))),RB_Daten!L$3,"")</f>
        <v/>
      </c>
      <c r="N25" s="81">
        <f>IF(AND(INDEX(Klassenliste!$B$6:$B$40,2)&lt;&gt;0,NOT(OR(RB_Daten!M$3="",RB_Daten!M$3=0))),RB_Daten!M$3,"")</f>
        <v/>
      </c>
      <c r="O25" s="82">
        <f>IF(INDEX(Klassenliste!$B$6:$B$40,2)&lt;&gt;0,IF(RB_Daten!$A$4="","",RB_Daten!$A$4),"")</f>
        <v/>
      </c>
    </row>
    <row r="26" ht="18" customHeight="1">
      <c r="B26" s="83">
        <f>IF(INDEX(Klassenliste!$B$6:$B$40,2)&lt;&gt;0,"erreicht","")</f>
        <v/>
      </c>
      <c r="C26" s="84">
        <f>IF(AND(INDEX(Klassenliste!$B$6:$B$40,2)&lt;&gt;0,NOT(OR(RB_Daten!B$3="",RB_Daten!B$3=0))),IF(RB_Daten!B$6="","",RB_Daten!B$6),"")</f>
        <v/>
      </c>
      <c r="D26" s="84">
        <f>IF(AND(INDEX(Klassenliste!$B$6:$B$40,2)&lt;&gt;0,NOT(OR(RB_Daten!C$3="",RB_Daten!C$3=0))),IF(RB_Daten!C$6="","",RB_Daten!C$6),"")</f>
        <v/>
      </c>
      <c r="E26" s="84">
        <f>IF(AND(INDEX(Klassenliste!$B$6:$B$40,2)&lt;&gt;0,NOT(OR(RB_Daten!D$3="",RB_Daten!D$3=0))),IF(RB_Daten!D$6="","",RB_Daten!D$6),"")</f>
        <v/>
      </c>
      <c r="F26" s="84">
        <f>IF(AND(INDEX(Klassenliste!$B$6:$B$40,2)&lt;&gt;0,NOT(OR(RB_Daten!E$3="",RB_Daten!E$3=0))),IF(RB_Daten!E$6="","",RB_Daten!E$6),"")</f>
        <v/>
      </c>
      <c r="G26" s="84">
        <f>IF(AND(INDEX(Klassenliste!$B$6:$B$40,2)&lt;&gt;0,NOT(OR(RB_Daten!F$3="",RB_Daten!F$3=0))),IF(RB_Daten!F$6="","",RB_Daten!F$6),"")</f>
        <v/>
      </c>
      <c r="H26" s="84">
        <f>IF(AND(INDEX(Klassenliste!$B$6:$B$40,2)&lt;&gt;0,NOT(OR(RB_Daten!G$3="",RB_Daten!G$3=0))),IF(RB_Daten!G$6="","",RB_Daten!G$6),"")</f>
        <v/>
      </c>
      <c r="I26" s="84">
        <f>IF(AND(INDEX(Klassenliste!$B$6:$B$40,2)&lt;&gt;0,NOT(OR(RB_Daten!H$3="",RB_Daten!H$3=0))),IF(RB_Daten!H$6="","",RB_Daten!H$6),"")</f>
        <v/>
      </c>
      <c r="J26" s="84">
        <f>IF(AND(INDEX(Klassenliste!$B$6:$B$40,2)&lt;&gt;0,NOT(OR(RB_Daten!I$3="",RB_Daten!I$3=0))),IF(RB_Daten!I$6="","",RB_Daten!I$6),"")</f>
        <v/>
      </c>
      <c r="K26" s="84">
        <f>IF(AND(INDEX(Klassenliste!$B$6:$B$40,2)&lt;&gt;0,NOT(OR(RB_Daten!J$3="",RB_Daten!J$3=0))),IF(RB_Daten!J$6="","",RB_Daten!J$6),"")</f>
        <v/>
      </c>
      <c r="L26" s="84">
        <f>IF(AND(INDEX(Klassenliste!$B$6:$B$40,2)&lt;&gt;0,NOT(OR(RB_Daten!K$3="",RB_Daten!K$3=0))),IF(RB_Daten!K$6="","",RB_Daten!K$6),"")</f>
        <v/>
      </c>
      <c r="M26" s="84">
        <f>IF(AND(INDEX(Klassenliste!$B$6:$B$40,2)&lt;&gt;0,NOT(OR(RB_Daten!L$3="",RB_Daten!L$3=0))),IF(RB_Daten!L$6="","",RB_Daten!L$6),"")</f>
        <v/>
      </c>
      <c r="N26" s="84">
        <f>IF(AND(INDEX(Klassenliste!$B$6:$B$40,2)&lt;&gt;0,NOT(OR(RB_Daten!M$3="",RB_Daten!M$3=0))),IF(RB_Daten!M$6="","",RB_Daten!M$6),"")</f>
        <v/>
      </c>
      <c r="O26" s="85">
        <f>IF(INDEX(Klassenliste!$B$6:$B$40,2)&lt;&gt;0,IF(RB_Daten!$N6="","",RB_Daten!$N6),"")</f>
        <v/>
      </c>
    </row>
    <row r="27" ht="10" customHeight="1">
      <c r="B27" s="76" t="n"/>
      <c r="O27" s="74" t="n"/>
    </row>
    <row r="28" ht="24" customHeight="1">
      <c r="B28" s="73">
        <f>IF(INDEX(Klassenliste!$B$6:$B$40,2)&lt;&gt;0,IF(RB_Daten!$O6="","Ergebnis: –","Ergebnis: "&amp;ROUND(RB_Daten!$O6*100,1)&amp;" %"),"")</f>
        <v/>
      </c>
      <c r="F28" s="86">
        <f>IF(INDEX(Klassenliste!$B$6:$B$40,2)&lt;&gt;0,IF(RB_Daten!$P6="","Punkte: –","Punkte: "&amp;RB_Daten!$P6&amp;"  ("&amp;RB_Daten!$Q6&amp;")"),"")</f>
        <v/>
      </c>
      <c r="O28" s="74" t="n"/>
    </row>
    <row r="29" ht="16" customHeight="1">
      <c r="B29" s="87">
        <f>IF(INDEX(Klassenliste!$B$6:$B$40,2)&lt;&gt;0,"Notenschlüssel:","")</f>
        <v/>
      </c>
      <c r="C29" s="46">
        <f>IF(INDEX(Klassenliste!$B$6:$B$40,2)&lt;&gt;0,"Note 1","")</f>
        <v/>
      </c>
      <c r="D29" s="46">
        <f>IF(INDEX(Klassenliste!$B$6:$B$40,2)&lt;&gt;0,"Note 2","")</f>
        <v/>
      </c>
      <c r="E29" s="46">
        <f>IF(INDEX(Klassenliste!$B$6:$B$40,2)&lt;&gt;0,"Note 3","")</f>
        <v/>
      </c>
      <c r="F29" s="46">
        <f>IF(INDEX(Klassenliste!$B$6:$B$40,2)&lt;&gt;0,"Note 4","")</f>
        <v/>
      </c>
      <c r="G29" s="46">
        <f>IF(INDEX(Klassenliste!$B$6:$B$40,2)&lt;&gt;0,"Note 5","")</f>
        <v/>
      </c>
      <c r="H29" s="46">
        <f>IF(INDEX(Klassenliste!$B$6:$B$40,2)&lt;&gt;0,"Note 6","")</f>
        <v/>
      </c>
      <c r="O29" s="74" t="n"/>
    </row>
    <row r="30" ht="16" customHeight="1">
      <c r="B30" s="87">
        <f>IF(INDEX(Klassenliste!$B$6:$B$40,2)&lt;&gt;0,"ab Punkten:","")</f>
        <v/>
      </c>
      <c r="C30" s="88">
        <f>IF(AND(INDEX(Klassenliste!$B$6:$B$40,2)&lt;&gt;0,RB_Daten!$A$4&lt;&gt;""),CEILING(Notentabelle!$C$17*RB_Daten!$A$4,0.5),"")</f>
        <v/>
      </c>
      <c r="D30" s="88">
        <f>IF(AND(INDEX(Klassenliste!$B$6:$B$40,2)&lt;&gt;0,RB_Daten!$A$4&lt;&gt;""),CEILING(Notentabelle!$C$14*RB_Daten!$A$4,0.5),"")</f>
        <v/>
      </c>
      <c r="E30" s="88">
        <f>IF(AND(INDEX(Klassenliste!$B$6:$B$40,2)&lt;&gt;0,RB_Daten!$A$4&lt;&gt;""),CEILING(Notentabelle!$C$11*RB_Daten!$A$4,0.5),"")</f>
        <v/>
      </c>
      <c r="F30" s="88">
        <f>IF(AND(INDEX(Klassenliste!$B$6:$B$40,2)&lt;&gt;0,RB_Daten!$A$4&lt;&gt;""),CEILING(Notentabelle!$C$8*RB_Daten!$A$4,0.5),"")</f>
        <v/>
      </c>
      <c r="G30" s="88">
        <f>IF(AND(INDEX(Klassenliste!$B$6:$B$40,2)&lt;&gt;0,RB_Daten!$A$4&lt;&gt;""),CEILING(Notentabelle!$C$5*RB_Daten!$A$4,0.5),"")</f>
        <v/>
      </c>
      <c r="H30" s="88">
        <f>IF(AND(INDEX(Klassenliste!$B$6:$B$40,2)&lt;&gt;0,RB_Daten!$A$4&lt;&gt;""),CEILING(0*RB_Daten!$A$4,0.5),"")</f>
        <v/>
      </c>
      <c r="O30" s="74" t="n"/>
    </row>
    <row r="31" ht="14" customHeight="1">
      <c r="B31" s="76" t="n"/>
      <c r="O31" s="74" t="n"/>
    </row>
    <row r="32" ht="110" customHeight="1">
      <c r="B32" s="89">
        <f>IF(INDEX(Klassenliste!$B$6:$B$40,2)&lt;&gt;0,"Lob / Hinweis:","")</f>
        <v/>
      </c>
      <c r="C32" s="90">
        <f>IF(INDEX(Klassenliste!$B$6:$B$40,2)&lt;&gt;0,RB_Daten!$R$6,"")</f>
        <v/>
      </c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74" t="n"/>
    </row>
    <row r="33" ht="22" customHeight="1">
      <c r="B33" s="87">
        <f>IF(INDEX(Klassenliste!$B$6:$B$40,2)&lt;&gt;0,"Unterschrift Erziehungsberechtigte/r:","")</f>
        <v/>
      </c>
      <c r="F33" s="92" t="n"/>
      <c r="G33" s="92" t="n"/>
      <c r="H33" s="92" t="n"/>
      <c r="I33" s="92" t="n"/>
      <c r="O33" s="74" t="n"/>
    </row>
    <row r="34" ht="8" customHeight="1">
      <c r="B34" s="93" t="n"/>
      <c r="C34" s="94" t="n"/>
      <c r="D34" s="94" t="n"/>
      <c r="E34" s="94" t="n"/>
      <c r="F34" s="94" t="n"/>
      <c r="G34" s="94" t="n"/>
      <c r="H34" s="94" t="n"/>
      <c r="I34" s="94" t="n"/>
      <c r="J34" s="94" t="n"/>
      <c r="K34" s="94" t="n"/>
      <c r="L34" s="94" t="n"/>
      <c r="M34" s="94" t="n"/>
      <c r="N34" s="94" t="n"/>
      <c r="O34" s="95" t="n"/>
    </row>
    <row r="35" ht="27.5" customHeight="1"/>
    <row r="36" ht="27.5" customHeight="1"/>
    <row r="37" ht="6" customHeight="1">
      <c r="B37" s="70" t="n"/>
      <c r="C37" s="71" t="n"/>
      <c r="D37" s="71" t="n"/>
      <c r="E37" s="71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72" t="n"/>
    </row>
    <row r="38" ht="20" customHeight="1">
      <c r="B38" s="73">
        <f>IF(INDEX(Klassenliste!$B$6:$B$40,3)&lt;&gt;0,"Klausur "&amp;$C$2&amp;" · "&amp;Klassenliste!$E$2&amp;" · "&amp;Klassenliste!$J$2&amp;IF(RB_Daten!$A$3="",""," · "&amp;RB_Daten!$A$3),"")</f>
        <v/>
      </c>
      <c r="J38" s="12">
        <f>IF(INDEX(Klassenliste!$B$6:$B$40,3)&lt;&gt;0,IF(RB_Daten!$A$2="","Datum: ______","Datum: "&amp;IFERROR(TEXT(RB_Daten!$A$2,"TT.MM.JJJJ"),RB_Daten!$A$2)),"")</f>
        <v/>
      </c>
      <c r="O38" s="74" t="n"/>
    </row>
    <row r="39" ht="20" customHeight="1">
      <c r="B39" s="75">
        <f>IF(INDEX(Klassenliste!$B$6:$B$40,3)&lt;&gt;0,"Name: "&amp;INDEX(Klassenliste!$C$6:$C$40,3)&amp;" "&amp;INDEX(Klassenliste!$B$6:$B$40,3),"")</f>
        <v/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74" t="n"/>
    </row>
    <row r="40" ht="8" customHeight="1">
      <c r="B40" s="76" t="n"/>
      <c r="O40" s="74" t="n"/>
    </row>
    <row r="41" ht="18" customHeight="1">
      <c r="B41" s="77">
        <f>IF(INDEX(Klassenliste!$B$6:$B$40,3)&lt;&gt;0,"Aufgabe","")</f>
        <v/>
      </c>
      <c r="C41" s="78">
        <f>IF(AND(INDEX(Klassenliste!$B$6:$B$40,3)&lt;&gt;0,NOT(OR(RB_Daten!B$3="",RB_Daten!B$3=0))),RB_Daten!B$2,"")</f>
        <v/>
      </c>
      <c r="D41" s="78">
        <f>IF(AND(INDEX(Klassenliste!$B$6:$B$40,3)&lt;&gt;0,NOT(OR(RB_Daten!C$3="",RB_Daten!C$3=0))),RB_Daten!C$2,"")</f>
        <v/>
      </c>
      <c r="E41" s="78">
        <f>IF(AND(INDEX(Klassenliste!$B$6:$B$40,3)&lt;&gt;0,NOT(OR(RB_Daten!D$3="",RB_Daten!D$3=0))),RB_Daten!D$2,"")</f>
        <v/>
      </c>
      <c r="F41" s="78">
        <f>IF(AND(INDEX(Klassenliste!$B$6:$B$40,3)&lt;&gt;0,NOT(OR(RB_Daten!E$3="",RB_Daten!E$3=0))),RB_Daten!E$2,"")</f>
        <v/>
      </c>
      <c r="G41" s="78">
        <f>IF(AND(INDEX(Klassenliste!$B$6:$B$40,3)&lt;&gt;0,NOT(OR(RB_Daten!F$3="",RB_Daten!F$3=0))),RB_Daten!F$2,"")</f>
        <v/>
      </c>
      <c r="H41" s="78">
        <f>IF(AND(INDEX(Klassenliste!$B$6:$B$40,3)&lt;&gt;0,NOT(OR(RB_Daten!G$3="",RB_Daten!G$3=0))),RB_Daten!G$2,"")</f>
        <v/>
      </c>
      <c r="I41" s="78">
        <f>IF(AND(INDEX(Klassenliste!$B$6:$B$40,3)&lt;&gt;0,NOT(OR(RB_Daten!H$3="",RB_Daten!H$3=0))),RB_Daten!H$2,"")</f>
        <v/>
      </c>
      <c r="J41" s="78">
        <f>IF(AND(INDEX(Klassenliste!$B$6:$B$40,3)&lt;&gt;0,NOT(OR(RB_Daten!I$3="",RB_Daten!I$3=0))),RB_Daten!I$2,"")</f>
        <v/>
      </c>
      <c r="K41" s="78">
        <f>IF(AND(INDEX(Klassenliste!$B$6:$B$40,3)&lt;&gt;0,NOT(OR(RB_Daten!J$3="",RB_Daten!J$3=0))),RB_Daten!J$2,"")</f>
        <v/>
      </c>
      <c r="L41" s="78">
        <f>IF(AND(INDEX(Klassenliste!$B$6:$B$40,3)&lt;&gt;0,NOT(OR(RB_Daten!K$3="",RB_Daten!K$3=0))),RB_Daten!K$2,"")</f>
        <v/>
      </c>
      <c r="M41" s="78">
        <f>IF(AND(INDEX(Klassenliste!$B$6:$B$40,3)&lt;&gt;0,NOT(OR(RB_Daten!L$3="",RB_Daten!L$3=0))),RB_Daten!L$2,"")</f>
        <v/>
      </c>
      <c r="N41" s="78">
        <f>IF(AND(INDEX(Klassenliste!$B$6:$B$40,3)&lt;&gt;0,NOT(OR(RB_Daten!M$3="",RB_Daten!M$3=0))),RB_Daten!M$2,"")</f>
        <v/>
      </c>
      <c r="O41" s="79">
        <f>IF(INDEX(Klassenliste!$B$6:$B$40,3)&lt;&gt;0,"Gesamt","")</f>
        <v/>
      </c>
    </row>
    <row r="42" ht="18" customHeight="1">
      <c r="B42" s="80">
        <f>IF(INDEX(Klassenliste!$B$6:$B$40,3)&lt;&gt;0,"max. Punkte","")</f>
        <v/>
      </c>
      <c r="C42" s="81">
        <f>IF(AND(INDEX(Klassenliste!$B$6:$B$40,3)&lt;&gt;0,NOT(OR(RB_Daten!B$3="",RB_Daten!B$3=0))),RB_Daten!B$3,"")</f>
        <v/>
      </c>
      <c r="D42" s="81">
        <f>IF(AND(INDEX(Klassenliste!$B$6:$B$40,3)&lt;&gt;0,NOT(OR(RB_Daten!C$3="",RB_Daten!C$3=0))),RB_Daten!C$3,"")</f>
        <v/>
      </c>
      <c r="E42" s="81">
        <f>IF(AND(INDEX(Klassenliste!$B$6:$B$40,3)&lt;&gt;0,NOT(OR(RB_Daten!D$3="",RB_Daten!D$3=0))),RB_Daten!D$3,"")</f>
        <v/>
      </c>
      <c r="F42" s="81">
        <f>IF(AND(INDEX(Klassenliste!$B$6:$B$40,3)&lt;&gt;0,NOT(OR(RB_Daten!E$3="",RB_Daten!E$3=0))),RB_Daten!E$3,"")</f>
        <v/>
      </c>
      <c r="G42" s="81">
        <f>IF(AND(INDEX(Klassenliste!$B$6:$B$40,3)&lt;&gt;0,NOT(OR(RB_Daten!F$3="",RB_Daten!F$3=0))),RB_Daten!F$3,"")</f>
        <v/>
      </c>
      <c r="H42" s="81">
        <f>IF(AND(INDEX(Klassenliste!$B$6:$B$40,3)&lt;&gt;0,NOT(OR(RB_Daten!G$3="",RB_Daten!G$3=0))),RB_Daten!G$3,"")</f>
        <v/>
      </c>
      <c r="I42" s="81">
        <f>IF(AND(INDEX(Klassenliste!$B$6:$B$40,3)&lt;&gt;0,NOT(OR(RB_Daten!H$3="",RB_Daten!H$3=0))),RB_Daten!H$3,"")</f>
        <v/>
      </c>
      <c r="J42" s="81">
        <f>IF(AND(INDEX(Klassenliste!$B$6:$B$40,3)&lt;&gt;0,NOT(OR(RB_Daten!I$3="",RB_Daten!I$3=0))),RB_Daten!I$3,"")</f>
        <v/>
      </c>
      <c r="K42" s="81">
        <f>IF(AND(INDEX(Klassenliste!$B$6:$B$40,3)&lt;&gt;0,NOT(OR(RB_Daten!J$3="",RB_Daten!J$3=0))),RB_Daten!J$3,"")</f>
        <v/>
      </c>
      <c r="L42" s="81">
        <f>IF(AND(INDEX(Klassenliste!$B$6:$B$40,3)&lt;&gt;0,NOT(OR(RB_Daten!K$3="",RB_Daten!K$3=0))),RB_Daten!K$3,"")</f>
        <v/>
      </c>
      <c r="M42" s="81">
        <f>IF(AND(INDEX(Klassenliste!$B$6:$B$40,3)&lt;&gt;0,NOT(OR(RB_Daten!L$3="",RB_Daten!L$3=0))),RB_Daten!L$3,"")</f>
        <v/>
      </c>
      <c r="N42" s="81">
        <f>IF(AND(INDEX(Klassenliste!$B$6:$B$40,3)&lt;&gt;0,NOT(OR(RB_Daten!M$3="",RB_Daten!M$3=0))),RB_Daten!M$3,"")</f>
        <v/>
      </c>
      <c r="O42" s="82">
        <f>IF(INDEX(Klassenliste!$B$6:$B$40,3)&lt;&gt;0,IF(RB_Daten!$A$4="","",RB_Daten!$A$4),"")</f>
        <v/>
      </c>
    </row>
    <row r="43" ht="18" customHeight="1">
      <c r="B43" s="83">
        <f>IF(INDEX(Klassenliste!$B$6:$B$40,3)&lt;&gt;0,"erreicht","")</f>
        <v/>
      </c>
      <c r="C43" s="84">
        <f>IF(AND(INDEX(Klassenliste!$B$6:$B$40,3)&lt;&gt;0,NOT(OR(RB_Daten!B$3="",RB_Daten!B$3=0))),IF(RB_Daten!B$7="","",RB_Daten!B$7),"")</f>
        <v/>
      </c>
      <c r="D43" s="84">
        <f>IF(AND(INDEX(Klassenliste!$B$6:$B$40,3)&lt;&gt;0,NOT(OR(RB_Daten!C$3="",RB_Daten!C$3=0))),IF(RB_Daten!C$7="","",RB_Daten!C$7),"")</f>
        <v/>
      </c>
      <c r="E43" s="84">
        <f>IF(AND(INDEX(Klassenliste!$B$6:$B$40,3)&lt;&gt;0,NOT(OR(RB_Daten!D$3="",RB_Daten!D$3=0))),IF(RB_Daten!D$7="","",RB_Daten!D$7),"")</f>
        <v/>
      </c>
      <c r="F43" s="84">
        <f>IF(AND(INDEX(Klassenliste!$B$6:$B$40,3)&lt;&gt;0,NOT(OR(RB_Daten!E$3="",RB_Daten!E$3=0))),IF(RB_Daten!E$7="","",RB_Daten!E$7),"")</f>
        <v/>
      </c>
      <c r="G43" s="84">
        <f>IF(AND(INDEX(Klassenliste!$B$6:$B$40,3)&lt;&gt;0,NOT(OR(RB_Daten!F$3="",RB_Daten!F$3=0))),IF(RB_Daten!F$7="","",RB_Daten!F$7),"")</f>
        <v/>
      </c>
      <c r="H43" s="84">
        <f>IF(AND(INDEX(Klassenliste!$B$6:$B$40,3)&lt;&gt;0,NOT(OR(RB_Daten!G$3="",RB_Daten!G$3=0))),IF(RB_Daten!G$7="","",RB_Daten!G$7),"")</f>
        <v/>
      </c>
      <c r="I43" s="84">
        <f>IF(AND(INDEX(Klassenliste!$B$6:$B$40,3)&lt;&gt;0,NOT(OR(RB_Daten!H$3="",RB_Daten!H$3=0))),IF(RB_Daten!H$7="","",RB_Daten!H$7),"")</f>
        <v/>
      </c>
      <c r="J43" s="84">
        <f>IF(AND(INDEX(Klassenliste!$B$6:$B$40,3)&lt;&gt;0,NOT(OR(RB_Daten!I$3="",RB_Daten!I$3=0))),IF(RB_Daten!I$7="","",RB_Daten!I$7),"")</f>
        <v/>
      </c>
      <c r="K43" s="84">
        <f>IF(AND(INDEX(Klassenliste!$B$6:$B$40,3)&lt;&gt;0,NOT(OR(RB_Daten!J$3="",RB_Daten!J$3=0))),IF(RB_Daten!J$7="","",RB_Daten!J$7),"")</f>
        <v/>
      </c>
      <c r="L43" s="84">
        <f>IF(AND(INDEX(Klassenliste!$B$6:$B$40,3)&lt;&gt;0,NOT(OR(RB_Daten!K$3="",RB_Daten!K$3=0))),IF(RB_Daten!K$7="","",RB_Daten!K$7),"")</f>
        <v/>
      </c>
      <c r="M43" s="84">
        <f>IF(AND(INDEX(Klassenliste!$B$6:$B$40,3)&lt;&gt;0,NOT(OR(RB_Daten!L$3="",RB_Daten!L$3=0))),IF(RB_Daten!L$7="","",RB_Daten!L$7),"")</f>
        <v/>
      </c>
      <c r="N43" s="84">
        <f>IF(AND(INDEX(Klassenliste!$B$6:$B$40,3)&lt;&gt;0,NOT(OR(RB_Daten!M$3="",RB_Daten!M$3=0))),IF(RB_Daten!M$7="","",RB_Daten!M$7),"")</f>
        <v/>
      </c>
      <c r="O43" s="85">
        <f>IF(INDEX(Klassenliste!$B$6:$B$40,3)&lt;&gt;0,IF(RB_Daten!$N7="","",RB_Daten!$N7),"")</f>
        <v/>
      </c>
    </row>
    <row r="44" ht="10" customHeight="1">
      <c r="B44" s="76" t="n"/>
      <c r="O44" s="74" t="n"/>
    </row>
    <row r="45" ht="24" customHeight="1">
      <c r="B45" s="73">
        <f>IF(INDEX(Klassenliste!$B$6:$B$40,3)&lt;&gt;0,IF(RB_Daten!$O7="","Ergebnis: –","Ergebnis: "&amp;ROUND(RB_Daten!$O7*100,1)&amp;" %"),"")</f>
        <v/>
      </c>
      <c r="F45" s="86">
        <f>IF(INDEX(Klassenliste!$B$6:$B$40,3)&lt;&gt;0,IF(RB_Daten!$P7="","Punkte: –","Punkte: "&amp;RB_Daten!$P7&amp;"  ("&amp;RB_Daten!$Q7&amp;")"),"")</f>
        <v/>
      </c>
      <c r="O45" s="74" t="n"/>
    </row>
    <row r="46" ht="16" customHeight="1">
      <c r="B46" s="87">
        <f>IF(INDEX(Klassenliste!$B$6:$B$40,3)&lt;&gt;0,"Notenschlüssel:","")</f>
        <v/>
      </c>
      <c r="C46" s="46">
        <f>IF(INDEX(Klassenliste!$B$6:$B$40,3)&lt;&gt;0,"Note 1","")</f>
        <v/>
      </c>
      <c r="D46" s="46">
        <f>IF(INDEX(Klassenliste!$B$6:$B$40,3)&lt;&gt;0,"Note 2","")</f>
        <v/>
      </c>
      <c r="E46" s="46">
        <f>IF(INDEX(Klassenliste!$B$6:$B$40,3)&lt;&gt;0,"Note 3","")</f>
        <v/>
      </c>
      <c r="F46" s="46">
        <f>IF(INDEX(Klassenliste!$B$6:$B$40,3)&lt;&gt;0,"Note 4","")</f>
        <v/>
      </c>
      <c r="G46" s="46">
        <f>IF(INDEX(Klassenliste!$B$6:$B$40,3)&lt;&gt;0,"Note 5","")</f>
        <v/>
      </c>
      <c r="H46" s="46">
        <f>IF(INDEX(Klassenliste!$B$6:$B$40,3)&lt;&gt;0,"Note 6","")</f>
        <v/>
      </c>
      <c r="O46" s="74" t="n"/>
    </row>
    <row r="47" ht="16" customHeight="1">
      <c r="B47" s="87">
        <f>IF(INDEX(Klassenliste!$B$6:$B$40,3)&lt;&gt;0,"ab Punkten:","")</f>
        <v/>
      </c>
      <c r="C47" s="88">
        <f>IF(AND(INDEX(Klassenliste!$B$6:$B$40,3)&lt;&gt;0,RB_Daten!$A$4&lt;&gt;""),CEILING(Notentabelle!$C$17*RB_Daten!$A$4,0.5),"")</f>
        <v/>
      </c>
      <c r="D47" s="88">
        <f>IF(AND(INDEX(Klassenliste!$B$6:$B$40,3)&lt;&gt;0,RB_Daten!$A$4&lt;&gt;""),CEILING(Notentabelle!$C$14*RB_Daten!$A$4,0.5),"")</f>
        <v/>
      </c>
      <c r="E47" s="88">
        <f>IF(AND(INDEX(Klassenliste!$B$6:$B$40,3)&lt;&gt;0,RB_Daten!$A$4&lt;&gt;""),CEILING(Notentabelle!$C$11*RB_Daten!$A$4,0.5),"")</f>
        <v/>
      </c>
      <c r="F47" s="88">
        <f>IF(AND(INDEX(Klassenliste!$B$6:$B$40,3)&lt;&gt;0,RB_Daten!$A$4&lt;&gt;""),CEILING(Notentabelle!$C$8*RB_Daten!$A$4,0.5),"")</f>
        <v/>
      </c>
      <c r="G47" s="88">
        <f>IF(AND(INDEX(Klassenliste!$B$6:$B$40,3)&lt;&gt;0,RB_Daten!$A$4&lt;&gt;""),CEILING(Notentabelle!$C$5*RB_Daten!$A$4,0.5),"")</f>
        <v/>
      </c>
      <c r="H47" s="88">
        <f>IF(AND(INDEX(Klassenliste!$B$6:$B$40,3)&lt;&gt;0,RB_Daten!$A$4&lt;&gt;""),CEILING(0*RB_Daten!$A$4,0.5),"")</f>
        <v/>
      </c>
      <c r="O47" s="74" t="n"/>
    </row>
    <row r="48" ht="14" customHeight="1">
      <c r="B48" s="76" t="n"/>
      <c r="O48" s="74" t="n"/>
    </row>
    <row r="49" ht="110" customHeight="1">
      <c r="B49" s="89">
        <f>IF(INDEX(Klassenliste!$B$6:$B$40,3)&lt;&gt;0,"Lob / Hinweis:","")</f>
        <v/>
      </c>
      <c r="C49" s="90">
        <f>IF(INDEX(Klassenliste!$B$6:$B$40,3)&lt;&gt;0,RB_Daten!$R$7,"")</f>
        <v/>
      </c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74" t="n"/>
    </row>
    <row r="50" ht="22" customHeight="1">
      <c r="B50" s="87">
        <f>IF(INDEX(Klassenliste!$B$6:$B$40,3)&lt;&gt;0,"Unterschrift Erziehungsberechtigte/r:","")</f>
        <v/>
      </c>
      <c r="F50" s="92" t="n"/>
      <c r="G50" s="92" t="n"/>
      <c r="H50" s="92" t="n"/>
      <c r="I50" s="92" t="n"/>
      <c r="O50" s="74" t="n"/>
    </row>
    <row r="51" ht="8" customHeight="1">
      <c r="B51" s="93" t="n"/>
      <c r="C51" s="94" t="n"/>
      <c r="D51" s="94" t="n"/>
      <c r="E51" s="94" t="n"/>
      <c r="F51" s="94" t="n"/>
      <c r="G51" s="94" t="n"/>
      <c r="H51" s="94" t="n"/>
      <c r="I51" s="94" t="n"/>
      <c r="J51" s="94" t="n"/>
      <c r="K51" s="94" t="n"/>
      <c r="L51" s="94" t="n"/>
      <c r="M51" s="94" t="n"/>
      <c r="N51" s="94" t="n"/>
      <c r="O51" s="95" t="n"/>
    </row>
    <row r="52" ht="27.5" customHeight="1"/>
    <row r="53" ht="27.5" customHeight="1"/>
    <row r="54" ht="6" customHeight="1">
      <c r="B54" s="70" t="n"/>
      <c r="C54" s="71" t="n"/>
      <c r="D54" s="71" t="n"/>
      <c r="E54" s="71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2" t="n"/>
    </row>
    <row r="55" ht="20" customHeight="1">
      <c r="B55" s="73">
        <f>IF(INDEX(Klassenliste!$B$6:$B$40,4)&lt;&gt;0,"Klausur "&amp;$C$2&amp;" · "&amp;Klassenliste!$E$2&amp;" · "&amp;Klassenliste!$J$2&amp;IF(RB_Daten!$A$3="",""," · "&amp;RB_Daten!$A$3),"")</f>
        <v/>
      </c>
      <c r="J55" s="12">
        <f>IF(INDEX(Klassenliste!$B$6:$B$40,4)&lt;&gt;0,IF(RB_Daten!$A$2="","Datum: ______","Datum: "&amp;IFERROR(TEXT(RB_Daten!$A$2,"TT.MM.JJJJ"),RB_Daten!$A$2)),"")</f>
        <v/>
      </c>
      <c r="O55" s="74" t="n"/>
    </row>
    <row r="56" ht="20" customHeight="1">
      <c r="B56" s="75">
        <f>IF(INDEX(Klassenliste!$B$6:$B$40,4)&lt;&gt;0,"Name: "&amp;INDEX(Klassenliste!$C$6:$C$40,4)&amp;" "&amp;INDEX(Klassenliste!$B$6:$B$40,4),"")</f>
        <v/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74" t="n"/>
    </row>
    <row r="57" ht="8" customHeight="1">
      <c r="B57" s="76" t="n"/>
      <c r="O57" s="74" t="n"/>
    </row>
    <row r="58" ht="18" customHeight="1">
      <c r="B58" s="77">
        <f>IF(INDEX(Klassenliste!$B$6:$B$40,4)&lt;&gt;0,"Aufgabe","")</f>
        <v/>
      </c>
      <c r="C58" s="78">
        <f>IF(AND(INDEX(Klassenliste!$B$6:$B$40,4)&lt;&gt;0,NOT(OR(RB_Daten!B$3="",RB_Daten!B$3=0))),RB_Daten!B$2,"")</f>
        <v/>
      </c>
      <c r="D58" s="78">
        <f>IF(AND(INDEX(Klassenliste!$B$6:$B$40,4)&lt;&gt;0,NOT(OR(RB_Daten!C$3="",RB_Daten!C$3=0))),RB_Daten!C$2,"")</f>
        <v/>
      </c>
      <c r="E58" s="78">
        <f>IF(AND(INDEX(Klassenliste!$B$6:$B$40,4)&lt;&gt;0,NOT(OR(RB_Daten!D$3="",RB_Daten!D$3=0))),RB_Daten!D$2,"")</f>
        <v/>
      </c>
      <c r="F58" s="78">
        <f>IF(AND(INDEX(Klassenliste!$B$6:$B$40,4)&lt;&gt;0,NOT(OR(RB_Daten!E$3="",RB_Daten!E$3=0))),RB_Daten!E$2,"")</f>
        <v/>
      </c>
      <c r="G58" s="78">
        <f>IF(AND(INDEX(Klassenliste!$B$6:$B$40,4)&lt;&gt;0,NOT(OR(RB_Daten!F$3="",RB_Daten!F$3=0))),RB_Daten!F$2,"")</f>
        <v/>
      </c>
      <c r="H58" s="78">
        <f>IF(AND(INDEX(Klassenliste!$B$6:$B$40,4)&lt;&gt;0,NOT(OR(RB_Daten!G$3="",RB_Daten!G$3=0))),RB_Daten!G$2,"")</f>
        <v/>
      </c>
      <c r="I58" s="78">
        <f>IF(AND(INDEX(Klassenliste!$B$6:$B$40,4)&lt;&gt;0,NOT(OR(RB_Daten!H$3="",RB_Daten!H$3=0))),RB_Daten!H$2,"")</f>
        <v/>
      </c>
      <c r="J58" s="78">
        <f>IF(AND(INDEX(Klassenliste!$B$6:$B$40,4)&lt;&gt;0,NOT(OR(RB_Daten!I$3="",RB_Daten!I$3=0))),RB_Daten!I$2,"")</f>
        <v/>
      </c>
      <c r="K58" s="78">
        <f>IF(AND(INDEX(Klassenliste!$B$6:$B$40,4)&lt;&gt;0,NOT(OR(RB_Daten!J$3="",RB_Daten!J$3=0))),RB_Daten!J$2,"")</f>
        <v/>
      </c>
      <c r="L58" s="78">
        <f>IF(AND(INDEX(Klassenliste!$B$6:$B$40,4)&lt;&gt;0,NOT(OR(RB_Daten!K$3="",RB_Daten!K$3=0))),RB_Daten!K$2,"")</f>
        <v/>
      </c>
      <c r="M58" s="78">
        <f>IF(AND(INDEX(Klassenliste!$B$6:$B$40,4)&lt;&gt;0,NOT(OR(RB_Daten!L$3="",RB_Daten!L$3=0))),RB_Daten!L$2,"")</f>
        <v/>
      </c>
      <c r="N58" s="78">
        <f>IF(AND(INDEX(Klassenliste!$B$6:$B$40,4)&lt;&gt;0,NOT(OR(RB_Daten!M$3="",RB_Daten!M$3=0))),RB_Daten!M$2,"")</f>
        <v/>
      </c>
      <c r="O58" s="79">
        <f>IF(INDEX(Klassenliste!$B$6:$B$40,4)&lt;&gt;0,"Gesamt","")</f>
        <v/>
      </c>
    </row>
    <row r="59" ht="18" customHeight="1">
      <c r="B59" s="80">
        <f>IF(INDEX(Klassenliste!$B$6:$B$40,4)&lt;&gt;0,"max. Punkte","")</f>
        <v/>
      </c>
      <c r="C59" s="81">
        <f>IF(AND(INDEX(Klassenliste!$B$6:$B$40,4)&lt;&gt;0,NOT(OR(RB_Daten!B$3="",RB_Daten!B$3=0))),RB_Daten!B$3,"")</f>
        <v/>
      </c>
      <c r="D59" s="81">
        <f>IF(AND(INDEX(Klassenliste!$B$6:$B$40,4)&lt;&gt;0,NOT(OR(RB_Daten!C$3="",RB_Daten!C$3=0))),RB_Daten!C$3,"")</f>
        <v/>
      </c>
      <c r="E59" s="81">
        <f>IF(AND(INDEX(Klassenliste!$B$6:$B$40,4)&lt;&gt;0,NOT(OR(RB_Daten!D$3="",RB_Daten!D$3=0))),RB_Daten!D$3,"")</f>
        <v/>
      </c>
      <c r="F59" s="81">
        <f>IF(AND(INDEX(Klassenliste!$B$6:$B$40,4)&lt;&gt;0,NOT(OR(RB_Daten!E$3="",RB_Daten!E$3=0))),RB_Daten!E$3,"")</f>
        <v/>
      </c>
      <c r="G59" s="81">
        <f>IF(AND(INDEX(Klassenliste!$B$6:$B$40,4)&lt;&gt;0,NOT(OR(RB_Daten!F$3="",RB_Daten!F$3=0))),RB_Daten!F$3,"")</f>
        <v/>
      </c>
      <c r="H59" s="81">
        <f>IF(AND(INDEX(Klassenliste!$B$6:$B$40,4)&lt;&gt;0,NOT(OR(RB_Daten!G$3="",RB_Daten!G$3=0))),RB_Daten!G$3,"")</f>
        <v/>
      </c>
      <c r="I59" s="81">
        <f>IF(AND(INDEX(Klassenliste!$B$6:$B$40,4)&lt;&gt;0,NOT(OR(RB_Daten!H$3="",RB_Daten!H$3=0))),RB_Daten!H$3,"")</f>
        <v/>
      </c>
      <c r="J59" s="81">
        <f>IF(AND(INDEX(Klassenliste!$B$6:$B$40,4)&lt;&gt;0,NOT(OR(RB_Daten!I$3="",RB_Daten!I$3=0))),RB_Daten!I$3,"")</f>
        <v/>
      </c>
      <c r="K59" s="81">
        <f>IF(AND(INDEX(Klassenliste!$B$6:$B$40,4)&lt;&gt;0,NOT(OR(RB_Daten!J$3="",RB_Daten!J$3=0))),RB_Daten!J$3,"")</f>
        <v/>
      </c>
      <c r="L59" s="81">
        <f>IF(AND(INDEX(Klassenliste!$B$6:$B$40,4)&lt;&gt;0,NOT(OR(RB_Daten!K$3="",RB_Daten!K$3=0))),RB_Daten!K$3,"")</f>
        <v/>
      </c>
      <c r="M59" s="81">
        <f>IF(AND(INDEX(Klassenliste!$B$6:$B$40,4)&lt;&gt;0,NOT(OR(RB_Daten!L$3="",RB_Daten!L$3=0))),RB_Daten!L$3,"")</f>
        <v/>
      </c>
      <c r="N59" s="81">
        <f>IF(AND(INDEX(Klassenliste!$B$6:$B$40,4)&lt;&gt;0,NOT(OR(RB_Daten!M$3="",RB_Daten!M$3=0))),RB_Daten!M$3,"")</f>
        <v/>
      </c>
      <c r="O59" s="82">
        <f>IF(INDEX(Klassenliste!$B$6:$B$40,4)&lt;&gt;0,IF(RB_Daten!$A$4="","",RB_Daten!$A$4),"")</f>
        <v/>
      </c>
    </row>
    <row r="60" ht="18" customHeight="1">
      <c r="B60" s="83">
        <f>IF(INDEX(Klassenliste!$B$6:$B$40,4)&lt;&gt;0,"erreicht","")</f>
        <v/>
      </c>
      <c r="C60" s="84">
        <f>IF(AND(INDEX(Klassenliste!$B$6:$B$40,4)&lt;&gt;0,NOT(OR(RB_Daten!B$3="",RB_Daten!B$3=0))),IF(RB_Daten!B$8="","",RB_Daten!B$8),"")</f>
        <v/>
      </c>
      <c r="D60" s="84">
        <f>IF(AND(INDEX(Klassenliste!$B$6:$B$40,4)&lt;&gt;0,NOT(OR(RB_Daten!C$3="",RB_Daten!C$3=0))),IF(RB_Daten!C$8="","",RB_Daten!C$8),"")</f>
        <v/>
      </c>
      <c r="E60" s="84">
        <f>IF(AND(INDEX(Klassenliste!$B$6:$B$40,4)&lt;&gt;0,NOT(OR(RB_Daten!D$3="",RB_Daten!D$3=0))),IF(RB_Daten!D$8="","",RB_Daten!D$8),"")</f>
        <v/>
      </c>
      <c r="F60" s="84">
        <f>IF(AND(INDEX(Klassenliste!$B$6:$B$40,4)&lt;&gt;0,NOT(OR(RB_Daten!E$3="",RB_Daten!E$3=0))),IF(RB_Daten!E$8="","",RB_Daten!E$8),"")</f>
        <v/>
      </c>
      <c r="G60" s="84">
        <f>IF(AND(INDEX(Klassenliste!$B$6:$B$40,4)&lt;&gt;0,NOT(OR(RB_Daten!F$3="",RB_Daten!F$3=0))),IF(RB_Daten!F$8="","",RB_Daten!F$8),"")</f>
        <v/>
      </c>
      <c r="H60" s="84">
        <f>IF(AND(INDEX(Klassenliste!$B$6:$B$40,4)&lt;&gt;0,NOT(OR(RB_Daten!G$3="",RB_Daten!G$3=0))),IF(RB_Daten!G$8="","",RB_Daten!G$8),"")</f>
        <v/>
      </c>
      <c r="I60" s="84">
        <f>IF(AND(INDEX(Klassenliste!$B$6:$B$40,4)&lt;&gt;0,NOT(OR(RB_Daten!H$3="",RB_Daten!H$3=0))),IF(RB_Daten!H$8="","",RB_Daten!H$8),"")</f>
        <v/>
      </c>
      <c r="J60" s="84">
        <f>IF(AND(INDEX(Klassenliste!$B$6:$B$40,4)&lt;&gt;0,NOT(OR(RB_Daten!I$3="",RB_Daten!I$3=0))),IF(RB_Daten!I$8="","",RB_Daten!I$8),"")</f>
        <v/>
      </c>
      <c r="K60" s="84">
        <f>IF(AND(INDEX(Klassenliste!$B$6:$B$40,4)&lt;&gt;0,NOT(OR(RB_Daten!J$3="",RB_Daten!J$3=0))),IF(RB_Daten!J$8="","",RB_Daten!J$8),"")</f>
        <v/>
      </c>
      <c r="L60" s="84">
        <f>IF(AND(INDEX(Klassenliste!$B$6:$B$40,4)&lt;&gt;0,NOT(OR(RB_Daten!K$3="",RB_Daten!K$3=0))),IF(RB_Daten!K$8="","",RB_Daten!K$8),"")</f>
        <v/>
      </c>
      <c r="M60" s="84">
        <f>IF(AND(INDEX(Klassenliste!$B$6:$B$40,4)&lt;&gt;0,NOT(OR(RB_Daten!L$3="",RB_Daten!L$3=0))),IF(RB_Daten!L$8="","",RB_Daten!L$8),"")</f>
        <v/>
      </c>
      <c r="N60" s="84">
        <f>IF(AND(INDEX(Klassenliste!$B$6:$B$40,4)&lt;&gt;0,NOT(OR(RB_Daten!M$3="",RB_Daten!M$3=0))),IF(RB_Daten!M$8="","",RB_Daten!M$8),"")</f>
        <v/>
      </c>
      <c r="O60" s="85">
        <f>IF(INDEX(Klassenliste!$B$6:$B$40,4)&lt;&gt;0,IF(RB_Daten!$N8="","",RB_Daten!$N8),"")</f>
        <v/>
      </c>
    </row>
    <row r="61" ht="10" customHeight="1">
      <c r="B61" s="76" t="n"/>
      <c r="O61" s="74" t="n"/>
    </row>
    <row r="62" ht="24" customHeight="1">
      <c r="B62" s="73">
        <f>IF(INDEX(Klassenliste!$B$6:$B$40,4)&lt;&gt;0,IF(RB_Daten!$O8="","Ergebnis: –","Ergebnis: "&amp;ROUND(RB_Daten!$O8*100,1)&amp;" %"),"")</f>
        <v/>
      </c>
      <c r="F62" s="86">
        <f>IF(INDEX(Klassenliste!$B$6:$B$40,4)&lt;&gt;0,IF(RB_Daten!$P8="","Punkte: –","Punkte: "&amp;RB_Daten!$P8&amp;"  ("&amp;RB_Daten!$Q8&amp;")"),"")</f>
        <v/>
      </c>
      <c r="O62" s="74" t="n"/>
    </row>
    <row r="63" ht="16" customHeight="1">
      <c r="B63" s="87">
        <f>IF(INDEX(Klassenliste!$B$6:$B$40,4)&lt;&gt;0,"Notenschlüssel:","")</f>
        <v/>
      </c>
      <c r="C63" s="46">
        <f>IF(INDEX(Klassenliste!$B$6:$B$40,4)&lt;&gt;0,"Note 1","")</f>
        <v/>
      </c>
      <c r="D63" s="46">
        <f>IF(INDEX(Klassenliste!$B$6:$B$40,4)&lt;&gt;0,"Note 2","")</f>
        <v/>
      </c>
      <c r="E63" s="46">
        <f>IF(INDEX(Klassenliste!$B$6:$B$40,4)&lt;&gt;0,"Note 3","")</f>
        <v/>
      </c>
      <c r="F63" s="46">
        <f>IF(INDEX(Klassenliste!$B$6:$B$40,4)&lt;&gt;0,"Note 4","")</f>
        <v/>
      </c>
      <c r="G63" s="46">
        <f>IF(INDEX(Klassenliste!$B$6:$B$40,4)&lt;&gt;0,"Note 5","")</f>
        <v/>
      </c>
      <c r="H63" s="46">
        <f>IF(INDEX(Klassenliste!$B$6:$B$40,4)&lt;&gt;0,"Note 6","")</f>
        <v/>
      </c>
      <c r="O63" s="74" t="n"/>
    </row>
    <row r="64" ht="16" customHeight="1">
      <c r="B64" s="87">
        <f>IF(INDEX(Klassenliste!$B$6:$B$40,4)&lt;&gt;0,"ab Punkten:","")</f>
        <v/>
      </c>
      <c r="C64" s="88">
        <f>IF(AND(INDEX(Klassenliste!$B$6:$B$40,4)&lt;&gt;0,RB_Daten!$A$4&lt;&gt;""),CEILING(Notentabelle!$C$17*RB_Daten!$A$4,0.5),"")</f>
        <v/>
      </c>
      <c r="D64" s="88">
        <f>IF(AND(INDEX(Klassenliste!$B$6:$B$40,4)&lt;&gt;0,RB_Daten!$A$4&lt;&gt;""),CEILING(Notentabelle!$C$14*RB_Daten!$A$4,0.5),"")</f>
        <v/>
      </c>
      <c r="E64" s="88">
        <f>IF(AND(INDEX(Klassenliste!$B$6:$B$40,4)&lt;&gt;0,RB_Daten!$A$4&lt;&gt;""),CEILING(Notentabelle!$C$11*RB_Daten!$A$4,0.5),"")</f>
        <v/>
      </c>
      <c r="F64" s="88">
        <f>IF(AND(INDEX(Klassenliste!$B$6:$B$40,4)&lt;&gt;0,RB_Daten!$A$4&lt;&gt;""),CEILING(Notentabelle!$C$8*RB_Daten!$A$4,0.5),"")</f>
        <v/>
      </c>
      <c r="G64" s="88">
        <f>IF(AND(INDEX(Klassenliste!$B$6:$B$40,4)&lt;&gt;0,RB_Daten!$A$4&lt;&gt;""),CEILING(Notentabelle!$C$5*RB_Daten!$A$4,0.5),"")</f>
        <v/>
      </c>
      <c r="H64" s="88">
        <f>IF(AND(INDEX(Klassenliste!$B$6:$B$40,4)&lt;&gt;0,RB_Daten!$A$4&lt;&gt;""),CEILING(0*RB_Daten!$A$4,0.5),"")</f>
        <v/>
      </c>
      <c r="O64" s="74" t="n"/>
    </row>
    <row r="65" ht="14" customHeight="1">
      <c r="B65" s="76" t="n"/>
      <c r="O65" s="74" t="n"/>
    </row>
    <row r="66" ht="110" customHeight="1">
      <c r="B66" s="89">
        <f>IF(INDEX(Klassenliste!$B$6:$B$40,4)&lt;&gt;0,"Lob / Hinweis:","")</f>
        <v/>
      </c>
      <c r="C66" s="90">
        <f>IF(INDEX(Klassenliste!$B$6:$B$40,4)&lt;&gt;0,RB_Daten!$R$8,"")</f>
        <v/>
      </c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74" t="n"/>
    </row>
    <row r="67" ht="22" customHeight="1">
      <c r="B67" s="87">
        <f>IF(INDEX(Klassenliste!$B$6:$B$40,4)&lt;&gt;0,"Unterschrift Erziehungsberechtigte/r:","")</f>
        <v/>
      </c>
      <c r="F67" s="92" t="n"/>
      <c r="G67" s="92" t="n"/>
      <c r="H67" s="92" t="n"/>
      <c r="I67" s="92" t="n"/>
      <c r="O67" s="74" t="n"/>
    </row>
    <row r="68" ht="8" customHeight="1">
      <c r="B68" s="93" t="n"/>
      <c r="C68" s="94" t="n"/>
      <c r="D68" s="94" t="n"/>
      <c r="E68" s="94" t="n"/>
      <c r="F68" s="94" t="n"/>
      <c r="G68" s="94" t="n"/>
      <c r="H68" s="94" t="n"/>
      <c r="I68" s="94" t="n"/>
      <c r="J68" s="94" t="n"/>
      <c r="K68" s="94" t="n"/>
      <c r="L68" s="94" t="n"/>
      <c r="M68" s="94" t="n"/>
      <c r="N68" s="94" t="n"/>
      <c r="O68" s="95" t="n"/>
    </row>
    <row r="69" ht="27.5" customHeight="1"/>
    <row r="70" ht="27.5" customHeight="1"/>
    <row r="71" ht="6" customHeight="1">
      <c r="B71" s="70" t="n"/>
      <c r="C71" s="71" t="n"/>
      <c r="D71" s="71" t="n"/>
      <c r="E71" s="71" t="n"/>
      <c r="F71" s="71" t="n"/>
      <c r="G71" s="71" t="n"/>
      <c r="H71" s="71" t="n"/>
      <c r="I71" s="71" t="n"/>
      <c r="J71" s="71" t="n"/>
      <c r="K71" s="71" t="n"/>
      <c r="L71" s="71" t="n"/>
      <c r="M71" s="71" t="n"/>
      <c r="N71" s="71" t="n"/>
      <c r="O71" s="72" t="n"/>
    </row>
    <row r="72" ht="20" customHeight="1">
      <c r="B72" s="73">
        <f>IF(INDEX(Klassenliste!$B$6:$B$40,5)&lt;&gt;0,"Klausur "&amp;$C$2&amp;" · "&amp;Klassenliste!$E$2&amp;" · "&amp;Klassenliste!$J$2&amp;IF(RB_Daten!$A$3="",""," · "&amp;RB_Daten!$A$3),"")</f>
        <v/>
      </c>
      <c r="J72" s="12">
        <f>IF(INDEX(Klassenliste!$B$6:$B$40,5)&lt;&gt;0,IF(RB_Daten!$A$2="","Datum: ______","Datum: "&amp;IFERROR(TEXT(RB_Daten!$A$2,"TT.MM.JJJJ"),RB_Daten!$A$2)),"")</f>
        <v/>
      </c>
      <c r="O72" s="74" t="n"/>
    </row>
    <row r="73" ht="20" customHeight="1">
      <c r="B73" s="75">
        <f>IF(INDEX(Klassenliste!$B$6:$B$40,5)&lt;&gt;0,"Name: "&amp;INDEX(Klassenliste!$C$6:$C$40,5)&amp;" "&amp;INDEX(Klassenliste!$B$6:$B$40,5),"")</f>
        <v/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74" t="n"/>
    </row>
    <row r="74" ht="8" customHeight="1">
      <c r="B74" s="76" t="n"/>
      <c r="O74" s="74" t="n"/>
    </row>
    <row r="75" ht="18" customHeight="1">
      <c r="B75" s="77">
        <f>IF(INDEX(Klassenliste!$B$6:$B$40,5)&lt;&gt;0,"Aufgabe","")</f>
        <v/>
      </c>
      <c r="C75" s="78">
        <f>IF(AND(INDEX(Klassenliste!$B$6:$B$40,5)&lt;&gt;0,NOT(OR(RB_Daten!B$3="",RB_Daten!B$3=0))),RB_Daten!B$2,"")</f>
        <v/>
      </c>
      <c r="D75" s="78">
        <f>IF(AND(INDEX(Klassenliste!$B$6:$B$40,5)&lt;&gt;0,NOT(OR(RB_Daten!C$3="",RB_Daten!C$3=0))),RB_Daten!C$2,"")</f>
        <v/>
      </c>
      <c r="E75" s="78">
        <f>IF(AND(INDEX(Klassenliste!$B$6:$B$40,5)&lt;&gt;0,NOT(OR(RB_Daten!D$3="",RB_Daten!D$3=0))),RB_Daten!D$2,"")</f>
        <v/>
      </c>
      <c r="F75" s="78">
        <f>IF(AND(INDEX(Klassenliste!$B$6:$B$40,5)&lt;&gt;0,NOT(OR(RB_Daten!E$3="",RB_Daten!E$3=0))),RB_Daten!E$2,"")</f>
        <v/>
      </c>
      <c r="G75" s="78">
        <f>IF(AND(INDEX(Klassenliste!$B$6:$B$40,5)&lt;&gt;0,NOT(OR(RB_Daten!F$3="",RB_Daten!F$3=0))),RB_Daten!F$2,"")</f>
        <v/>
      </c>
      <c r="H75" s="78">
        <f>IF(AND(INDEX(Klassenliste!$B$6:$B$40,5)&lt;&gt;0,NOT(OR(RB_Daten!G$3="",RB_Daten!G$3=0))),RB_Daten!G$2,"")</f>
        <v/>
      </c>
      <c r="I75" s="78">
        <f>IF(AND(INDEX(Klassenliste!$B$6:$B$40,5)&lt;&gt;0,NOT(OR(RB_Daten!H$3="",RB_Daten!H$3=0))),RB_Daten!H$2,"")</f>
        <v/>
      </c>
      <c r="J75" s="78">
        <f>IF(AND(INDEX(Klassenliste!$B$6:$B$40,5)&lt;&gt;0,NOT(OR(RB_Daten!I$3="",RB_Daten!I$3=0))),RB_Daten!I$2,"")</f>
        <v/>
      </c>
      <c r="K75" s="78">
        <f>IF(AND(INDEX(Klassenliste!$B$6:$B$40,5)&lt;&gt;0,NOT(OR(RB_Daten!J$3="",RB_Daten!J$3=0))),RB_Daten!J$2,"")</f>
        <v/>
      </c>
      <c r="L75" s="78">
        <f>IF(AND(INDEX(Klassenliste!$B$6:$B$40,5)&lt;&gt;0,NOT(OR(RB_Daten!K$3="",RB_Daten!K$3=0))),RB_Daten!K$2,"")</f>
        <v/>
      </c>
      <c r="M75" s="78">
        <f>IF(AND(INDEX(Klassenliste!$B$6:$B$40,5)&lt;&gt;0,NOT(OR(RB_Daten!L$3="",RB_Daten!L$3=0))),RB_Daten!L$2,"")</f>
        <v/>
      </c>
      <c r="N75" s="78">
        <f>IF(AND(INDEX(Klassenliste!$B$6:$B$40,5)&lt;&gt;0,NOT(OR(RB_Daten!M$3="",RB_Daten!M$3=0))),RB_Daten!M$2,"")</f>
        <v/>
      </c>
      <c r="O75" s="79">
        <f>IF(INDEX(Klassenliste!$B$6:$B$40,5)&lt;&gt;0,"Gesamt","")</f>
        <v/>
      </c>
    </row>
    <row r="76" ht="18" customHeight="1">
      <c r="B76" s="80">
        <f>IF(INDEX(Klassenliste!$B$6:$B$40,5)&lt;&gt;0,"max. Punkte","")</f>
        <v/>
      </c>
      <c r="C76" s="81">
        <f>IF(AND(INDEX(Klassenliste!$B$6:$B$40,5)&lt;&gt;0,NOT(OR(RB_Daten!B$3="",RB_Daten!B$3=0))),RB_Daten!B$3,"")</f>
        <v/>
      </c>
      <c r="D76" s="81">
        <f>IF(AND(INDEX(Klassenliste!$B$6:$B$40,5)&lt;&gt;0,NOT(OR(RB_Daten!C$3="",RB_Daten!C$3=0))),RB_Daten!C$3,"")</f>
        <v/>
      </c>
      <c r="E76" s="81">
        <f>IF(AND(INDEX(Klassenliste!$B$6:$B$40,5)&lt;&gt;0,NOT(OR(RB_Daten!D$3="",RB_Daten!D$3=0))),RB_Daten!D$3,"")</f>
        <v/>
      </c>
      <c r="F76" s="81">
        <f>IF(AND(INDEX(Klassenliste!$B$6:$B$40,5)&lt;&gt;0,NOT(OR(RB_Daten!E$3="",RB_Daten!E$3=0))),RB_Daten!E$3,"")</f>
        <v/>
      </c>
      <c r="G76" s="81">
        <f>IF(AND(INDEX(Klassenliste!$B$6:$B$40,5)&lt;&gt;0,NOT(OR(RB_Daten!F$3="",RB_Daten!F$3=0))),RB_Daten!F$3,"")</f>
        <v/>
      </c>
      <c r="H76" s="81">
        <f>IF(AND(INDEX(Klassenliste!$B$6:$B$40,5)&lt;&gt;0,NOT(OR(RB_Daten!G$3="",RB_Daten!G$3=0))),RB_Daten!G$3,"")</f>
        <v/>
      </c>
      <c r="I76" s="81">
        <f>IF(AND(INDEX(Klassenliste!$B$6:$B$40,5)&lt;&gt;0,NOT(OR(RB_Daten!H$3="",RB_Daten!H$3=0))),RB_Daten!H$3,"")</f>
        <v/>
      </c>
      <c r="J76" s="81">
        <f>IF(AND(INDEX(Klassenliste!$B$6:$B$40,5)&lt;&gt;0,NOT(OR(RB_Daten!I$3="",RB_Daten!I$3=0))),RB_Daten!I$3,"")</f>
        <v/>
      </c>
      <c r="K76" s="81">
        <f>IF(AND(INDEX(Klassenliste!$B$6:$B$40,5)&lt;&gt;0,NOT(OR(RB_Daten!J$3="",RB_Daten!J$3=0))),RB_Daten!J$3,"")</f>
        <v/>
      </c>
      <c r="L76" s="81">
        <f>IF(AND(INDEX(Klassenliste!$B$6:$B$40,5)&lt;&gt;0,NOT(OR(RB_Daten!K$3="",RB_Daten!K$3=0))),RB_Daten!K$3,"")</f>
        <v/>
      </c>
      <c r="M76" s="81">
        <f>IF(AND(INDEX(Klassenliste!$B$6:$B$40,5)&lt;&gt;0,NOT(OR(RB_Daten!L$3="",RB_Daten!L$3=0))),RB_Daten!L$3,"")</f>
        <v/>
      </c>
      <c r="N76" s="81">
        <f>IF(AND(INDEX(Klassenliste!$B$6:$B$40,5)&lt;&gt;0,NOT(OR(RB_Daten!M$3="",RB_Daten!M$3=0))),RB_Daten!M$3,"")</f>
        <v/>
      </c>
      <c r="O76" s="82">
        <f>IF(INDEX(Klassenliste!$B$6:$B$40,5)&lt;&gt;0,IF(RB_Daten!$A$4="","",RB_Daten!$A$4),"")</f>
        <v/>
      </c>
    </row>
    <row r="77" ht="18" customHeight="1">
      <c r="B77" s="83">
        <f>IF(INDEX(Klassenliste!$B$6:$B$40,5)&lt;&gt;0,"erreicht","")</f>
        <v/>
      </c>
      <c r="C77" s="84">
        <f>IF(AND(INDEX(Klassenliste!$B$6:$B$40,5)&lt;&gt;0,NOT(OR(RB_Daten!B$3="",RB_Daten!B$3=0))),IF(RB_Daten!B$9="","",RB_Daten!B$9),"")</f>
        <v/>
      </c>
      <c r="D77" s="84">
        <f>IF(AND(INDEX(Klassenliste!$B$6:$B$40,5)&lt;&gt;0,NOT(OR(RB_Daten!C$3="",RB_Daten!C$3=0))),IF(RB_Daten!C$9="","",RB_Daten!C$9),"")</f>
        <v/>
      </c>
      <c r="E77" s="84">
        <f>IF(AND(INDEX(Klassenliste!$B$6:$B$40,5)&lt;&gt;0,NOT(OR(RB_Daten!D$3="",RB_Daten!D$3=0))),IF(RB_Daten!D$9="","",RB_Daten!D$9),"")</f>
        <v/>
      </c>
      <c r="F77" s="84">
        <f>IF(AND(INDEX(Klassenliste!$B$6:$B$40,5)&lt;&gt;0,NOT(OR(RB_Daten!E$3="",RB_Daten!E$3=0))),IF(RB_Daten!E$9="","",RB_Daten!E$9),"")</f>
        <v/>
      </c>
      <c r="G77" s="84">
        <f>IF(AND(INDEX(Klassenliste!$B$6:$B$40,5)&lt;&gt;0,NOT(OR(RB_Daten!F$3="",RB_Daten!F$3=0))),IF(RB_Daten!F$9="","",RB_Daten!F$9),"")</f>
        <v/>
      </c>
      <c r="H77" s="84">
        <f>IF(AND(INDEX(Klassenliste!$B$6:$B$40,5)&lt;&gt;0,NOT(OR(RB_Daten!G$3="",RB_Daten!G$3=0))),IF(RB_Daten!G$9="","",RB_Daten!G$9),"")</f>
        <v/>
      </c>
      <c r="I77" s="84">
        <f>IF(AND(INDEX(Klassenliste!$B$6:$B$40,5)&lt;&gt;0,NOT(OR(RB_Daten!H$3="",RB_Daten!H$3=0))),IF(RB_Daten!H$9="","",RB_Daten!H$9),"")</f>
        <v/>
      </c>
      <c r="J77" s="84">
        <f>IF(AND(INDEX(Klassenliste!$B$6:$B$40,5)&lt;&gt;0,NOT(OR(RB_Daten!I$3="",RB_Daten!I$3=0))),IF(RB_Daten!I$9="","",RB_Daten!I$9),"")</f>
        <v/>
      </c>
      <c r="K77" s="84">
        <f>IF(AND(INDEX(Klassenliste!$B$6:$B$40,5)&lt;&gt;0,NOT(OR(RB_Daten!J$3="",RB_Daten!J$3=0))),IF(RB_Daten!J$9="","",RB_Daten!J$9),"")</f>
        <v/>
      </c>
      <c r="L77" s="84">
        <f>IF(AND(INDEX(Klassenliste!$B$6:$B$40,5)&lt;&gt;0,NOT(OR(RB_Daten!K$3="",RB_Daten!K$3=0))),IF(RB_Daten!K$9="","",RB_Daten!K$9),"")</f>
        <v/>
      </c>
      <c r="M77" s="84">
        <f>IF(AND(INDEX(Klassenliste!$B$6:$B$40,5)&lt;&gt;0,NOT(OR(RB_Daten!L$3="",RB_Daten!L$3=0))),IF(RB_Daten!L$9="","",RB_Daten!L$9),"")</f>
        <v/>
      </c>
      <c r="N77" s="84">
        <f>IF(AND(INDEX(Klassenliste!$B$6:$B$40,5)&lt;&gt;0,NOT(OR(RB_Daten!M$3="",RB_Daten!M$3=0))),IF(RB_Daten!M$9="","",RB_Daten!M$9),"")</f>
        <v/>
      </c>
      <c r="O77" s="85">
        <f>IF(INDEX(Klassenliste!$B$6:$B$40,5)&lt;&gt;0,IF(RB_Daten!$N9="","",RB_Daten!$N9),"")</f>
        <v/>
      </c>
    </row>
    <row r="78" ht="10" customHeight="1">
      <c r="B78" s="76" t="n"/>
      <c r="O78" s="74" t="n"/>
    </row>
    <row r="79" ht="24" customHeight="1">
      <c r="B79" s="73">
        <f>IF(INDEX(Klassenliste!$B$6:$B$40,5)&lt;&gt;0,IF(RB_Daten!$O9="","Ergebnis: –","Ergebnis: "&amp;ROUND(RB_Daten!$O9*100,1)&amp;" %"),"")</f>
        <v/>
      </c>
      <c r="F79" s="86">
        <f>IF(INDEX(Klassenliste!$B$6:$B$40,5)&lt;&gt;0,IF(RB_Daten!$P9="","Punkte: –","Punkte: "&amp;RB_Daten!$P9&amp;"  ("&amp;RB_Daten!$Q9&amp;")"),"")</f>
        <v/>
      </c>
      <c r="O79" s="74" t="n"/>
    </row>
    <row r="80" ht="16" customHeight="1">
      <c r="B80" s="87">
        <f>IF(INDEX(Klassenliste!$B$6:$B$40,5)&lt;&gt;0,"Notenschlüssel:","")</f>
        <v/>
      </c>
      <c r="C80" s="46">
        <f>IF(INDEX(Klassenliste!$B$6:$B$40,5)&lt;&gt;0,"Note 1","")</f>
        <v/>
      </c>
      <c r="D80" s="46">
        <f>IF(INDEX(Klassenliste!$B$6:$B$40,5)&lt;&gt;0,"Note 2","")</f>
        <v/>
      </c>
      <c r="E80" s="46">
        <f>IF(INDEX(Klassenliste!$B$6:$B$40,5)&lt;&gt;0,"Note 3","")</f>
        <v/>
      </c>
      <c r="F80" s="46">
        <f>IF(INDEX(Klassenliste!$B$6:$B$40,5)&lt;&gt;0,"Note 4","")</f>
        <v/>
      </c>
      <c r="G80" s="46">
        <f>IF(INDEX(Klassenliste!$B$6:$B$40,5)&lt;&gt;0,"Note 5","")</f>
        <v/>
      </c>
      <c r="H80" s="46">
        <f>IF(INDEX(Klassenliste!$B$6:$B$40,5)&lt;&gt;0,"Note 6","")</f>
        <v/>
      </c>
      <c r="O80" s="74" t="n"/>
    </row>
    <row r="81" ht="16" customHeight="1">
      <c r="B81" s="87">
        <f>IF(INDEX(Klassenliste!$B$6:$B$40,5)&lt;&gt;0,"ab Punkten:","")</f>
        <v/>
      </c>
      <c r="C81" s="88">
        <f>IF(AND(INDEX(Klassenliste!$B$6:$B$40,5)&lt;&gt;0,RB_Daten!$A$4&lt;&gt;""),CEILING(Notentabelle!$C$17*RB_Daten!$A$4,0.5),"")</f>
        <v/>
      </c>
      <c r="D81" s="88">
        <f>IF(AND(INDEX(Klassenliste!$B$6:$B$40,5)&lt;&gt;0,RB_Daten!$A$4&lt;&gt;""),CEILING(Notentabelle!$C$14*RB_Daten!$A$4,0.5),"")</f>
        <v/>
      </c>
      <c r="E81" s="88">
        <f>IF(AND(INDEX(Klassenliste!$B$6:$B$40,5)&lt;&gt;0,RB_Daten!$A$4&lt;&gt;""),CEILING(Notentabelle!$C$11*RB_Daten!$A$4,0.5),"")</f>
        <v/>
      </c>
      <c r="F81" s="88">
        <f>IF(AND(INDEX(Klassenliste!$B$6:$B$40,5)&lt;&gt;0,RB_Daten!$A$4&lt;&gt;""),CEILING(Notentabelle!$C$8*RB_Daten!$A$4,0.5),"")</f>
        <v/>
      </c>
      <c r="G81" s="88">
        <f>IF(AND(INDEX(Klassenliste!$B$6:$B$40,5)&lt;&gt;0,RB_Daten!$A$4&lt;&gt;""),CEILING(Notentabelle!$C$5*RB_Daten!$A$4,0.5),"")</f>
        <v/>
      </c>
      <c r="H81" s="88">
        <f>IF(AND(INDEX(Klassenliste!$B$6:$B$40,5)&lt;&gt;0,RB_Daten!$A$4&lt;&gt;""),CEILING(0*RB_Daten!$A$4,0.5),"")</f>
        <v/>
      </c>
      <c r="O81" s="74" t="n"/>
    </row>
    <row r="82" ht="14" customHeight="1">
      <c r="B82" s="76" t="n"/>
      <c r="O82" s="74" t="n"/>
    </row>
    <row r="83" ht="110" customHeight="1">
      <c r="B83" s="89">
        <f>IF(INDEX(Klassenliste!$B$6:$B$40,5)&lt;&gt;0,"Lob / Hinweis:","")</f>
        <v/>
      </c>
      <c r="C83" s="90">
        <f>IF(INDEX(Klassenliste!$B$6:$B$40,5)&lt;&gt;0,RB_Daten!$R$9,"")</f>
        <v/>
      </c>
      <c r="D83" s="91" t="n"/>
      <c r="E83" s="91" t="n"/>
      <c r="F83" s="91" t="n"/>
      <c r="G83" s="91" t="n"/>
      <c r="H83" s="91" t="n"/>
      <c r="I83" s="91" t="n"/>
      <c r="J83" s="91" t="n"/>
      <c r="K83" s="91" t="n"/>
      <c r="L83" s="91" t="n"/>
      <c r="M83" s="91" t="n"/>
      <c r="N83" s="91" t="n"/>
      <c r="O83" s="74" t="n"/>
    </row>
    <row r="84" ht="22" customHeight="1">
      <c r="B84" s="87">
        <f>IF(INDEX(Klassenliste!$B$6:$B$40,5)&lt;&gt;0,"Unterschrift Erziehungsberechtigte/r:","")</f>
        <v/>
      </c>
      <c r="F84" s="92" t="n"/>
      <c r="G84" s="92" t="n"/>
      <c r="H84" s="92" t="n"/>
      <c r="I84" s="92" t="n"/>
      <c r="O84" s="74" t="n"/>
    </row>
    <row r="85" ht="8" customHeight="1">
      <c r="B85" s="93" t="n"/>
      <c r="C85" s="94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94" t="n"/>
      <c r="N85" s="94" t="n"/>
      <c r="O85" s="95" t="n"/>
    </row>
    <row r="86" ht="27.5" customHeight="1"/>
    <row r="87" ht="27.5" customHeight="1"/>
    <row r="88" ht="6" customHeight="1">
      <c r="B88" s="70" t="n"/>
      <c r="C88" s="71" t="n"/>
      <c r="D88" s="71" t="n"/>
      <c r="E88" s="71" t="n"/>
      <c r="F88" s="71" t="n"/>
      <c r="G88" s="71" t="n"/>
      <c r="H88" s="71" t="n"/>
      <c r="I88" s="71" t="n"/>
      <c r="J88" s="71" t="n"/>
      <c r="K88" s="71" t="n"/>
      <c r="L88" s="71" t="n"/>
      <c r="M88" s="71" t="n"/>
      <c r="N88" s="71" t="n"/>
      <c r="O88" s="72" t="n"/>
    </row>
    <row r="89" ht="20" customHeight="1">
      <c r="B89" s="73">
        <f>IF(INDEX(Klassenliste!$B$6:$B$40,6)&lt;&gt;0,"Klausur "&amp;$C$2&amp;" · "&amp;Klassenliste!$E$2&amp;" · "&amp;Klassenliste!$J$2&amp;IF(RB_Daten!$A$3="",""," · "&amp;RB_Daten!$A$3),"")</f>
        <v/>
      </c>
      <c r="J89" s="12">
        <f>IF(INDEX(Klassenliste!$B$6:$B$40,6)&lt;&gt;0,IF(RB_Daten!$A$2="","Datum: ______","Datum: "&amp;IFERROR(TEXT(RB_Daten!$A$2,"TT.MM.JJJJ"),RB_Daten!$A$2)),"")</f>
        <v/>
      </c>
      <c r="O89" s="74" t="n"/>
    </row>
    <row r="90" ht="20" customHeight="1">
      <c r="B90" s="75">
        <f>IF(INDEX(Klassenliste!$B$6:$B$40,6)&lt;&gt;0,"Name: "&amp;INDEX(Klassenliste!$C$6:$C$40,6)&amp;" "&amp;INDEX(Klassenliste!$B$6:$B$40,6),"")</f>
        <v/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74" t="n"/>
    </row>
    <row r="91" ht="8" customHeight="1">
      <c r="B91" s="76" t="n"/>
      <c r="O91" s="74" t="n"/>
    </row>
    <row r="92" ht="18" customHeight="1">
      <c r="B92" s="77">
        <f>IF(INDEX(Klassenliste!$B$6:$B$40,6)&lt;&gt;0,"Aufgabe","")</f>
        <v/>
      </c>
      <c r="C92" s="78">
        <f>IF(AND(INDEX(Klassenliste!$B$6:$B$40,6)&lt;&gt;0,NOT(OR(RB_Daten!B$3="",RB_Daten!B$3=0))),RB_Daten!B$2,"")</f>
        <v/>
      </c>
      <c r="D92" s="78">
        <f>IF(AND(INDEX(Klassenliste!$B$6:$B$40,6)&lt;&gt;0,NOT(OR(RB_Daten!C$3="",RB_Daten!C$3=0))),RB_Daten!C$2,"")</f>
        <v/>
      </c>
      <c r="E92" s="78">
        <f>IF(AND(INDEX(Klassenliste!$B$6:$B$40,6)&lt;&gt;0,NOT(OR(RB_Daten!D$3="",RB_Daten!D$3=0))),RB_Daten!D$2,"")</f>
        <v/>
      </c>
      <c r="F92" s="78">
        <f>IF(AND(INDEX(Klassenliste!$B$6:$B$40,6)&lt;&gt;0,NOT(OR(RB_Daten!E$3="",RB_Daten!E$3=0))),RB_Daten!E$2,"")</f>
        <v/>
      </c>
      <c r="G92" s="78">
        <f>IF(AND(INDEX(Klassenliste!$B$6:$B$40,6)&lt;&gt;0,NOT(OR(RB_Daten!F$3="",RB_Daten!F$3=0))),RB_Daten!F$2,"")</f>
        <v/>
      </c>
      <c r="H92" s="78">
        <f>IF(AND(INDEX(Klassenliste!$B$6:$B$40,6)&lt;&gt;0,NOT(OR(RB_Daten!G$3="",RB_Daten!G$3=0))),RB_Daten!G$2,"")</f>
        <v/>
      </c>
      <c r="I92" s="78">
        <f>IF(AND(INDEX(Klassenliste!$B$6:$B$40,6)&lt;&gt;0,NOT(OR(RB_Daten!H$3="",RB_Daten!H$3=0))),RB_Daten!H$2,"")</f>
        <v/>
      </c>
      <c r="J92" s="78">
        <f>IF(AND(INDEX(Klassenliste!$B$6:$B$40,6)&lt;&gt;0,NOT(OR(RB_Daten!I$3="",RB_Daten!I$3=0))),RB_Daten!I$2,"")</f>
        <v/>
      </c>
      <c r="K92" s="78">
        <f>IF(AND(INDEX(Klassenliste!$B$6:$B$40,6)&lt;&gt;0,NOT(OR(RB_Daten!J$3="",RB_Daten!J$3=0))),RB_Daten!J$2,"")</f>
        <v/>
      </c>
      <c r="L92" s="78">
        <f>IF(AND(INDEX(Klassenliste!$B$6:$B$40,6)&lt;&gt;0,NOT(OR(RB_Daten!K$3="",RB_Daten!K$3=0))),RB_Daten!K$2,"")</f>
        <v/>
      </c>
      <c r="M92" s="78">
        <f>IF(AND(INDEX(Klassenliste!$B$6:$B$40,6)&lt;&gt;0,NOT(OR(RB_Daten!L$3="",RB_Daten!L$3=0))),RB_Daten!L$2,"")</f>
        <v/>
      </c>
      <c r="N92" s="78">
        <f>IF(AND(INDEX(Klassenliste!$B$6:$B$40,6)&lt;&gt;0,NOT(OR(RB_Daten!M$3="",RB_Daten!M$3=0))),RB_Daten!M$2,"")</f>
        <v/>
      </c>
      <c r="O92" s="79">
        <f>IF(INDEX(Klassenliste!$B$6:$B$40,6)&lt;&gt;0,"Gesamt","")</f>
        <v/>
      </c>
    </row>
    <row r="93" ht="18" customHeight="1">
      <c r="B93" s="80">
        <f>IF(INDEX(Klassenliste!$B$6:$B$40,6)&lt;&gt;0,"max. Punkte","")</f>
        <v/>
      </c>
      <c r="C93" s="81">
        <f>IF(AND(INDEX(Klassenliste!$B$6:$B$40,6)&lt;&gt;0,NOT(OR(RB_Daten!B$3="",RB_Daten!B$3=0))),RB_Daten!B$3,"")</f>
        <v/>
      </c>
      <c r="D93" s="81">
        <f>IF(AND(INDEX(Klassenliste!$B$6:$B$40,6)&lt;&gt;0,NOT(OR(RB_Daten!C$3="",RB_Daten!C$3=0))),RB_Daten!C$3,"")</f>
        <v/>
      </c>
      <c r="E93" s="81">
        <f>IF(AND(INDEX(Klassenliste!$B$6:$B$40,6)&lt;&gt;0,NOT(OR(RB_Daten!D$3="",RB_Daten!D$3=0))),RB_Daten!D$3,"")</f>
        <v/>
      </c>
      <c r="F93" s="81">
        <f>IF(AND(INDEX(Klassenliste!$B$6:$B$40,6)&lt;&gt;0,NOT(OR(RB_Daten!E$3="",RB_Daten!E$3=0))),RB_Daten!E$3,"")</f>
        <v/>
      </c>
      <c r="G93" s="81">
        <f>IF(AND(INDEX(Klassenliste!$B$6:$B$40,6)&lt;&gt;0,NOT(OR(RB_Daten!F$3="",RB_Daten!F$3=0))),RB_Daten!F$3,"")</f>
        <v/>
      </c>
      <c r="H93" s="81">
        <f>IF(AND(INDEX(Klassenliste!$B$6:$B$40,6)&lt;&gt;0,NOT(OR(RB_Daten!G$3="",RB_Daten!G$3=0))),RB_Daten!G$3,"")</f>
        <v/>
      </c>
      <c r="I93" s="81">
        <f>IF(AND(INDEX(Klassenliste!$B$6:$B$40,6)&lt;&gt;0,NOT(OR(RB_Daten!H$3="",RB_Daten!H$3=0))),RB_Daten!H$3,"")</f>
        <v/>
      </c>
      <c r="J93" s="81">
        <f>IF(AND(INDEX(Klassenliste!$B$6:$B$40,6)&lt;&gt;0,NOT(OR(RB_Daten!I$3="",RB_Daten!I$3=0))),RB_Daten!I$3,"")</f>
        <v/>
      </c>
      <c r="K93" s="81">
        <f>IF(AND(INDEX(Klassenliste!$B$6:$B$40,6)&lt;&gt;0,NOT(OR(RB_Daten!J$3="",RB_Daten!J$3=0))),RB_Daten!J$3,"")</f>
        <v/>
      </c>
      <c r="L93" s="81">
        <f>IF(AND(INDEX(Klassenliste!$B$6:$B$40,6)&lt;&gt;0,NOT(OR(RB_Daten!K$3="",RB_Daten!K$3=0))),RB_Daten!K$3,"")</f>
        <v/>
      </c>
      <c r="M93" s="81">
        <f>IF(AND(INDEX(Klassenliste!$B$6:$B$40,6)&lt;&gt;0,NOT(OR(RB_Daten!L$3="",RB_Daten!L$3=0))),RB_Daten!L$3,"")</f>
        <v/>
      </c>
      <c r="N93" s="81">
        <f>IF(AND(INDEX(Klassenliste!$B$6:$B$40,6)&lt;&gt;0,NOT(OR(RB_Daten!M$3="",RB_Daten!M$3=0))),RB_Daten!M$3,"")</f>
        <v/>
      </c>
      <c r="O93" s="82">
        <f>IF(INDEX(Klassenliste!$B$6:$B$40,6)&lt;&gt;0,IF(RB_Daten!$A$4="","",RB_Daten!$A$4),"")</f>
        <v/>
      </c>
    </row>
    <row r="94" ht="18" customHeight="1">
      <c r="B94" s="83">
        <f>IF(INDEX(Klassenliste!$B$6:$B$40,6)&lt;&gt;0,"erreicht","")</f>
        <v/>
      </c>
      <c r="C94" s="84">
        <f>IF(AND(INDEX(Klassenliste!$B$6:$B$40,6)&lt;&gt;0,NOT(OR(RB_Daten!B$3="",RB_Daten!B$3=0))),IF(RB_Daten!B$10="","",RB_Daten!B$10),"")</f>
        <v/>
      </c>
      <c r="D94" s="84">
        <f>IF(AND(INDEX(Klassenliste!$B$6:$B$40,6)&lt;&gt;0,NOT(OR(RB_Daten!C$3="",RB_Daten!C$3=0))),IF(RB_Daten!C$10="","",RB_Daten!C$10),"")</f>
        <v/>
      </c>
      <c r="E94" s="84">
        <f>IF(AND(INDEX(Klassenliste!$B$6:$B$40,6)&lt;&gt;0,NOT(OR(RB_Daten!D$3="",RB_Daten!D$3=0))),IF(RB_Daten!D$10="","",RB_Daten!D$10),"")</f>
        <v/>
      </c>
      <c r="F94" s="84">
        <f>IF(AND(INDEX(Klassenliste!$B$6:$B$40,6)&lt;&gt;0,NOT(OR(RB_Daten!E$3="",RB_Daten!E$3=0))),IF(RB_Daten!E$10="","",RB_Daten!E$10),"")</f>
        <v/>
      </c>
      <c r="G94" s="84">
        <f>IF(AND(INDEX(Klassenliste!$B$6:$B$40,6)&lt;&gt;0,NOT(OR(RB_Daten!F$3="",RB_Daten!F$3=0))),IF(RB_Daten!F$10="","",RB_Daten!F$10),"")</f>
        <v/>
      </c>
      <c r="H94" s="84">
        <f>IF(AND(INDEX(Klassenliste!$B$6:$B$40,6)&lt;&gt;0,NOT(OR(RB_Daten!G$3="",RB_Daten!G$3=0))),IF(RB_Daten!G$10="","",RB_Daten!G$10),"")</f>
        <v/>
      </c>
      <c r="I94" s="84">
        <f>IF(AND(INDEX(Klassenliste!$B$6:$B$40,6)&lt;&gt;0,NOT(OR(RB_Daten!H$3="",RB_Daten!H$3=0))),IF(RB_Daten!H$10="","",RB_Daten!H$10),"")</f>
        <v/>
      </c>
      <c r="J94" s="84">
        <f>IF(AND(INDEX(Klassenliste!$B$6:$B$40,6)&lt;&gt;0,NOT(OR(RB_Daten!I$3="",RB_Daten!I$3=0))),IF(RB_Daten!I$10="","",RB_Daten!I$10),"")</f>
        <v/>
      </c>
      <c r="K94" s="84">
        <f>IF(AND(INDEX(Klassenliste!$B$6:$B$40,6)&lt;&gt;0,NOT(OR(RB_Daten!J$3="",RB_Daten!J$3=0))),IF(RB_Daten!J$10="","",RB_Daten!J$10),"")</f>
        <v/>
      </c>
      <c r="L94" s="84">
        <f>IF(AND(INDEX(Klassenliste!$B$6:$B$40,6)&lt;&gt;0,NOT(OR(RB_Daten!K$3="",RB_Daten!K$3=0))),IF(RB_Daten!K$10="","",RB_Daten!K$10),"")</f>
        <v/>
      </c>
      <c r="M94" s="84">
        <f>IF(AND(INDEX(Klassenliste!$B$6:$B$40,6)&lt;&gt;0,NOT(OR(RB_Daten!L$3="",RB_Daten!L$3=0))),IF(RB_Daten!L$10="","",RB_Daten!L$10),"")</f>
        <v/>
      </c>
      <c r="N94" s="84">
        <f>IF(AND(INDEX(Klassenliste!$B$6:$B$40,6)&lt;&gt;0,NOT(OR(RB_Daten!M$3="",RB_Daten!M$3=0))),IF(RB_Daten!M$10="","",RB_Daten!M$10),"")</f>
        <v/>
      </c>
      <c r="O94" s="85">
        <f>IF(INDEX(Klassenliste!$B$6:$B$40,6)&lt;&gt;0,IF(RB_Daten!$N10="","",RB_Daten!$N10),"")</f>
        <v/>
      </c>
    </row>
    <row r="95" ht="10" customHeight="1">
      <c r="B95" s="76" t="n"/>
      <c r="O95" s="74" t="n"/>
    </row>
    <row r="96" ht="24" customHeight="1">
      <c r="B96" s="73">
        <f>IF(INDEX(Klassenliste!$B$6:$B$40,6)&lt;&gt;0,IF(RB_Daten!$O10="","Ergebnis: –","Ergebnis: "&amp;ROUND(RB_Daten!$O10*100,1)&amp;" %"),"")</f>
        <v/>
      </c>
      <c r="F96" s="86">
        <f>IF(INDEX(Klassenliste!$B$6:$B$40,6)&lt;&gt;0,IF(RB_Daten!$P10="","Punkte: –","Punkte: "&amp;RB_Daten!$P10&amp;"  ("&amp;RB_Daten!$Q10&amp;")"),"")</f>
        <v/>
      </c>
      <c r="O96" s="74" t="n"/>
    </row>
    <row r="97" ht="16" customHeight="1">
      <c r="B97" s="87">
        <f>IF(INDEX(Klassenliste!$B$6:$B$40,6)&lt;&gt;0,"Notenschlüssel:","")</f>
        <v/>
      </c>
      <c r="C97" s="46">
        <f>IF(INDEX(Klassenliste!$B$6:$B$40,6)&lt;&gt;0,"Note 1","")</f>
        <v/>
      </c>
      <c r="D97" s="46">
        <f>IF(INDEX(Klassenliste!$B$6:$B$40,6)&lt;&gt;0,"Note 2","")</f>
        <v/>
      </c>
      <c r="E97" s="46">
        <f>IF(INDEX(Klassenliste!$B$6:$B$40,6)&lt;&gt;0,"Note 3","")</f>
        <v/>
      </c>
      <c r="F97" s="46">
        <f>IF(INDEX(Klassenliste!$B$6:$B$40,6)&lt;&gt;0,"Note 4","")</f>
        <v/>
      </c>
      <c r="G97" s="46">
        <f>IF(INDEX(Klassenliste!$B$6:$B$40,6)&lt;&gt;0,"Note 5","")</f>
        <v/>
      </c>
      <c r="H97" s="46">
        <f>IF(INDEX(Klassenliste!$B$6:$B$40,6)&lt;&gt;0,"Note 6","")</f>
        <v/>
      </c>
      <c r="O97" s="74" t="n"/>
    </row>
    <row r="98" ht="16" customHeight="1">
      <c r="B98" s="87">
        <f>IF(INDEX(Klassenliste!$B$6:$B$40,6)&lt;&gt;0,"ab Punkten:","")</f>
        <v/>
      </c>
      <c r="C98" s="88">
        <f>IF(AND(INDEX(Klassenliste!$B$6:$B$40,6)&lt;&gt;0,RB_Daten!$A$4&lt;&gt;""),CEILING(Notentabelle!$C$17*RB_Daten!$A$4,0.5),"")</f>
        <v/>
      </c>
      <c r="D98" s="88">
        <f>IF(AND(INDEX(Klassenliste!$B$6:$B$40,6)&lt;&gt;0,RB_Daten!$A$4&lt;&gt;""),CEILING(Notentabelle!$C$14*RB_Daten!$A$4,0.5),"")</f>
        <v/>
      </c>
      <c r="E98" s="88">
        <f>IF(AND(INDEX(Klassenliste!$B$6:$B$40,6)&lt;&gt;0,RB_Daten!$A$4&lt;&gt;""),CEILING(Notentabelle!$C$11*RB_Daten!$A$4,0.5),"")</f>
        <v/>
      </c>
      <c r="F98" s="88">
        <f>IF(AND(INDEX(Klassenliste!$B$6:$B$40,6)&lt;&gt;0,RB_Daten!$A$4&lt;&gt;""),CEILING(Notentabelle!$C$8*RB_Daten!$A$4,0.5),"")</f>
        <v/>
      </c>
      <c r="G98" s="88">
        <f>IF(AND(INDEX(Klassenliste!$B$6:$B$40,6)&lt;&gt;0,RB_Daten!$A$4&lt;&gt;""),CEILING(Notentabelle!$C$5*RB_Daten!$A$4,0.5),"")</f>
        <v/>
      </c>
      <c r="H98" s="88">
        <f>IF(AND(INDEX(Klassenliste!$B$6:$B$40,6)&lt;&gt;0,RB_Daten!$A$4&lt;&gt;""),CEILING(0*RB_Daten!$A$4,0.5),"")</f>
        <v/>
      </c>
      <c r="O98" s="74" t="n"/>
    </row>
    <row r="99" ht="14" customHeight="1">
      <c r="B99" s="76" t="n"/>
      <c r="O99" s="74" t="n"/>
    </row>
    <row r="100" ht="110" customHeight="1">
      <c r="B100" s="89">
        <f>IF(INDEX(Klassenliste!$B$6:$B$40,6)&lt;&gt;0,"Lob / Hinweis:","")</f>
        <v/>
      </c>
      <c r="C100" s="90">
        <f>IF(INDEX(Klassenliste!$B$6:$B$40,6)&lt;&gt;0,RB_Daten!$R$10,"")</f>
        <v/>
      </c>
      <c r="D100" s="91" t="n"/>
      <c r="E100" s="91" t="n"/>
      <c r="F100" s="91" t="n"/>
      <c r="G100" s="91" t="n"/>
      <c r="H100" s="91" t="n"/>
      <c r="I100" s="91" t="n"/>
      <c r="J100" s="91" t="n"/>
      <c r="K100" s="91" t="n"/>
      <c r="L100" s="91" t="n"/>
      <c r="M100" s="91" t="n"/>
      <c r="N100" s="91" t="n"/>
      <c r="O100" s="74" t="n"/>
    </row>
    <row r="101" ht="22" customHeight="1">
      <c r="B101" s="87">
        <f>IF(INDEX(Klassenliste!$B$6:$B$40,6)&lt;&gt;0,"Unterschrift Erziehungsberechtigte/r:","")</f>
        <v/>
      </c>
      <c r="F101" s="92" t="n"/>
      <c r="G101" s="92" t="n"/>
      <c r="H101" s="92" t="n"/>
      <c r="I101" s="92" t="n"/>
      <c r="O101" s="74" t="n"/>
    </row>
    <row r="102" ht="8" customHeight="1">
      <c r="B102" s="93" t="n"/>
      <c r="C102" s="94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94" t="n"/>
      <c r="N102" s="94" t="n"/>
      <c r="O102" s="95" t="n"/>
    </row>
    <row r="103" ht="27.5" customHeight="1"/>
    <row r="104" ht="27.5" customHeight="1"/>
    <row r="105" ht="6" customHeight="1">
      <c r="B105" s="70" t="n"/>
      <c r="C105" s="71" t="n"/>
      <c r="D105" s="71" t="n"/>
      <c r="E105" s="71" t="n"/>
      <c r="F105" s="71" t="n"/>
      <c r="G105" s="71" t="n"/>
      <c r="H105" s="71" t="n"/>
      <c r="I105" s="71" t="n"/>
      <c r="J105" s="71" t="n"/>
      <c r="K105" s="71" t="n"/>
      <c r="L105" s="71" t="n"/>
      <c r="M105" s="71" t="n"/>
      <c r="N105" s="71" t="n"/>
      <c r="O105" s="72" t="n"/>
    </row>
    <row r="106" ht="20" customHeight="1">
      <c r="B106" s="73">
        <f>IF(INDEX(Klassenliste!$B$6:$B$40,7)&lt;&gt;0,"Klausur "&amp;$C$2&amp;" · "&amp;Klassenliste!$E$2&amp;" · "&amp;Klassenliste!$J$2&amp;IF(RB_Daten!$A$3="",""," · "&amp;RB_Daten!$A$3),"")</f>
        <v/>
      </c>
      <c r="J106" s="12">
        <f>IF(INDEX(Klassenliste!$B$6:$B$40,7)&lt;&gt;0,IF(RB_Daten!$A$2="","Datum: ______","Datum: "&amp;IFERROR(TEXT(RB_Daten!$A$2,"TT.MM.JJJJ"),RB_Daten!$A$2)),"")</f>
        <v/>
      </c>
      <c r="O106" s="74" t="n"/>
    </row>
    <row r="107" ht="20" customHeight="1">
      <c r="B107" s="75">
        <f>IF(INDEX(Klassenliste!$B$6:$B$40,7)&lt;&gt;0,"Name: "&amp;INDEX(Klassenliste!$C$6:$C$40,7)&amp;" "&amp;INDEX(Klassenliste!$B$6:$B$40,7),"")</f>
        <v/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74" t="n"/>
    </row>
    <row r="108" ht="8" customHeight="1">
      <c r="B108" s="76" t="n"/>
      <c r="O108" s="74" t="n"/>
    </row>
    <row r="109" ht="18" customHeight="1">
      <c r="B109" s="77">
        <f>IF(INDEX(Klassenliste!$B$6:$B$40,7)&lt;&gt;0,"Aufgabe","")</f>
        <v/>
      </c>
      <c r="C109" s="78">
        <f>IF(AND(INDEX(Klassenliste!$B$6:$B$40,7)&lt;&gt;0,NOT(OR(RB_Daten!B$3="",RB_Daten!B$3=0))),RB_Daten!B$2,"")</f>
        <v/>
      </c>
      <c r="D109" s="78">
        <f>IF(AND(INDEX(Klassenliste!$B$6:$B$40,7)&lt;&gt;0,NOT(OR(RB_Daten!C$3="",RB_Daten!C$3=0))),RB_Daten!C$2,"")</f>
        <v/>
      </c>
      <c r="E109" s="78">
        <f>IF(AND(INDEX(Klassenliste!$B$6:$B$40,7)&lt;&gt;0,NOT(OR(RB_Daten!D$3="",RB_Daten!D$3=0))),RB_Daten!D$2,"")</f>
        <v/>
      </c>
      <c r="F109" s="78">
        <f>IF(AND(INDEX(Klassenliste!$B$6:$B$40,7)&lt;&gt;0,NOT(OR(RB_Daten!E$3="",RB_Daten!E$3=0))),RB_Daten!E$2,"")</f>
        <v/>
      </c>
      <c r="G109" s="78">
        <f>IF(AND(INDEX(Klassenliste!$B$6:$B$40,7)&lt;&gt;0,NOT(OR(RB_Daten!F$3="",RB_Daten!F$3=0))),RB_Daten!F$2,"")</f>
        <v/>
      </c>
      <c r="H109" s="78">
        <f>IF(AND(INDEX(Klassenliste!$B$6:$B$40,7)&lt;&gt;0,NOT(OR(RB_Daten!G$3="",RB_Daten!G$3=0))),RB_Daten!G$2,"")</f>
        <v/>
      </c>
      <c r="I109" s="78">
        <f>IF(AND(INDEX(Klassenliste!$B$6:$B$40,7)&lt;&gt;0,NOT(OR(RB_Daten!H$3="",RB_Daten!H$3=0))),RB_Daten!H$2,"")</f>
        <v/>
      </c>
      <c r="J109" s="78">
        <f>IF(AND(INDEX(Klassenliste!$B$6:$B$40,7)&lt;&gt;0,NOT(OR(RB_Daten!I$3="",RB_Daten!I$3=0))),RB_Daten!I$2,"")</f>
        <v/>
      </c>
      <c r="K109" s="78">
        <f>IF(AND(INDEX(Klassenliste!$B$6:$B$40,7)&lt;&gt;0,NOT(OR(RB_Daten!J$3="",RB_Daten!J$3=0))),RB_Daten!J$2,"")</f>
        <v/>
      </c>
      <c r="L109" s="78">
        <f>IF(AND(INDEX(Klassenliste!$B$6:$B$40,7)&lt;&gt;0,NOT(OR(RB_Daten!K$3="",RB_Daten!K$3=0))),RB_Daten!K$2,"")</f>
        <v/>
      </c>
      <c r="M109" s="78">
        <f>IF(AND(INDEX(Klassenliste!$B$6:$B$40,7)&lt;&gt;0,NOT(OR(RB_Daten!L$3="",RB_Daten!L$3=0))),RB_Daten!L$2,"")</f>
        <v/>
      </c>
      <c r="N109" s="78">
        <f>IF(AND(INDEX(Klassenliste!$B$6:$B$40,7)&lt;&gt;0,NOT(OR(RB_Daten!M$3="",RB_Daten!M$3=0))),RB_Daten!M$2,"")</f>
        <v/>
      </c>
      <c r="O109" s="79">
        <f>IF(INDEX(Klassenliste!$B$6:$B$40,7)&lt;&gt;0,"Gesamt","")</f>
        <v/>
      </c>
    </row>
    <row r="110" ht="18" customHeight="1">
      <c r="B110" s="80">
        <f>IF(INDEX(Klassenliste!$B$6:$B$40,7)&lt;&gt;0,"max. Punkte","")</f>
        <v/>
      </c>
      <c r="C110" s="81">
        <f>IF(AND(INDEX(Klassenliste!$B$6:$B$40,7)&lt;&gt;0,NOT(OR(RB_Daten!B$3="",RB_Daten!B$3=0))),RB_Daten!B$3,"")</f>
        <v/>
      </c>
      <c r="D110" s="81">
        <f>IF(AND(INDEX(Klassenliste!$B$6:$B$40,7)&lt;&gt;0,NOT(OR(RB_Daten!C$3="",RB_Daten!C$3=0))),RB_Daten!C$3,"")</f>
        <v/>
      </c>
      <c r="E110" s="81">
        <f>IF(AND(INDEX(Klassenliste!$B$6:$B$40,7)&lt;&gt;0,NOT(OR(RB_Daten!D$3="",RB_Daten!D$3=0))),RB_Daten!D$3,"")</f>
        <v/>
      </c>
      <c r="F110" s="81">
        <f>IF(AND(INDEX(Klassenliste!$B$6:$B$40,7)&lt;&gt;0,NOT(OR(RB_Daten!E$3="",RB_Daten!E$3=0))),RB_Daten!E$3,"")</f>
        <v/>
      </c>
      <c r="G110" s="81">
        <f>IF(AND(INDEX(Klassenliste!$B$6:$B$40,7)&lt;&gt;0,NOT(OR(RB_Daten!F$3="",RB_Daten!F$3=0))),RB_Daten!F$3,"")</f>
        <v/>
      </c>
      <c r="H110" s="81">
        <f>IF(AND(INDEX(Klassenliste!$B$6:$B$40,7)&lt;&gt;0,NOT(OR(RB_Daten!G$3="",RB_Daten!G$3=0))),RB_Daten!G$3,"")</f>
        <v/>
      </c>
      <c r="I110" s="81">
        <f>IF(AND(INDEX(Klassenliste!$B$6:$B$40,7)&lt;&gt;0,NOT(OR(RB_Daten!H$3="",RB_Daten!H$3=0))),RB_Daten!H$3,"")</f>
        <v/>
      </c>
      <c r="J110" s="81">
        <f>IF(AND(INDEX(Klassenliste!$B$6:$B$40,7)&lt;&gt;0,NOT(OR(RB_Daten!I$3="",RB_Daten!I$3=0))),RB_Daten!I$3,"")</f>
        <v/>
      </c>
      <c r="K110" s="81">
        <f>IF(AND(INDEX(Klassenliste!$B$6:$B$40,7)&lt;&gt;0,NOT(OR(RB_Daten!J$3="",RB_Daten!J$3=0))),RB_Daten!J$3,"")</f>
        <v/>
      </c>
      <c r="L110" s="81">
        <f>IF(AND(INDEX(Klassenliste!$B$6:$B$40,7)&lt;&gt;0,NOT(OR(RB_Daten!K$3="",RB_Daten!K$3=0))),RB_Daten!K$3,"")</f>
        <v/>
      </c>
      <c r="M110" s="81">
        <f>IF(AND(INDEX(Klassenliste!$B$6:$B$40,7)&lt;&gt;0,NOT(OR(RB_Daten!L$3="",RB_Daten!L$3=0))),RB_Daten!L$3,"")</f>
        <v/>
      </c>
      <c r="N110" s="81">
        <f>IF(AND(INDEX(Klassenliste!$B$6:$B$40,7)&lt;&gt;0,NOT(OR(RB_Daten!M$3="",RB_Daten!M$3=0))),RB_Daten!M$3,"")</f>
        <v/>
      </c>
      <c r="O110" s="82">
        <f>IF(INDEX(Klassenliste!$B$6:$B$40,7)&lt;&gt;0,IF(RB_Daten!$A$4="","",RB_Daten!$A$4),"")</f>
        <v/>
      </c>
    </row>
    <row r="111" ht="18" customHeight="1">
      <c r="B111" s="83">
        <f>IF(INDEX(Klassenliste!$B$6:$B$40,7)&lt;&gt;0,"erreicht","")</f>
        <v/>
      </c>
      <c r="C111" s="84">
        <f>IF(AND(INDEX(Klassenliste!$B$6:$B$40,7)&lt;&gt;0,NOT(OR(RB_Daten!B$3="",RB_Daten!B$3=0))),IF(RB_Daten!B$11="","",RB_Daten!B$11),"")</f>
        <v/>
      </c>
      <c r="D111" s="84">
        <f>IF(AND(INDEX(Klassenliste!$B$6:$B$40,7)&lt;&gt;0,NOT(OR(RB_Daten!C$3="",RB_Daten!C$3=0))),IF(RB_Daten!C$11="","",RB_Daten!C$11),"")</f>
        <v/>
      </c>
      <c r="E111" s="84">
        <f>IF(AND(INDEX(Klassenliste!$B$6:$B$40,7)&lt;&gt;0,NOT(OR(RB_Daten!D$3="",RB_Daten!D$3=0))),IF(RB_Daten!D$11="","",RB_Daten!D$11),"")</f>
        <v/>
      </c>
      <c r="F111" s="84">
        <f>IF(AND(INDEX(Klassenliste!$B$6:$B$40,7)&lt;&gt;0,NOT(OR(RB_Daten!E$3="",RB_Daten!E$3=0))),IF(RB_Daten!E$11="","",RB_Daten!E$11),"")</f>
        <v/>
      </c>
      <c r="G111" s="84">
        <f>IF(AND(INDEX(Klassenliste!$B$6:$B$40,7)&lt;&gt;0,NOT(OR(RB_Daten!F$3="",RB_Daten!F$3=0))),IF(RB_Daten!F$11="","",RB_Daten!F$11),"")</f>
        <v/>
      </c>
      <c r="H111" s="84">
        <f>IF(AND(INDEX(Klassenliste!$B$6:$B$40,7)&lt;&gt;0,NOT(OR(RB_Daten!G$3="",RB_Daten!G$3=0))),IF(RB_Daten!G$11="","",RB_Daten!G$11),"")</f>
        <v/>
      </c>
      <c r="I111" s="84">
        <f>IF(AND(INDEX(Klassenliste!$B$6:$B$40,7)&lt;&gt;0,NOT(OR(RB_Daten!H$3="",RB_Daten!H$3=0))),IF(RB_Daten!H$11="","",RB_Daten!H$11),"")</f>
        <v/>
      </c>
      <c r="J111" s="84">
        <f>IF(AND(INDEX(Klassenliste!$B$6:$B$40,7)&lt;&gt;0,NOT(OR(RB_Daten!I$3="",RB_Daten!I$3=0))),IF(RB_Daten!I$11="","",RB_Daten!I$11),"")</f>
        <v/>
      </c>
      <c r="K111" s="84">
        <f>IF(AND(INDEX(Klassenliste!$B$6:$B$40,7)&lt;&gt;0,NOT(OR(RB_Daten!J$3="",RB_Daten!J$3=0))),IF(RB_Daten!J$11="","",RB_Daten!J$11),"")</f>
        <v/>
      </c>
      <c r="L111" s="84">
        <f>IF(AND(INDEX(Klassenliste!$B$6:$B$40,7)&lt;&gt;0,NOT(OR(RB_Daten!K$3="",RB_Daten!K$3=0))),IF(RB_Daten!K$11="","",RB_Daten!K$11),"")</f>
        <v/>
      </c>
      <c r="M111" s="84">
        <f>IF(AND(INDEX(Klassenliste!$B$6:$B$40,7)&lt;&gt;0,NOT(OR(RB_Daten!L$3="",RB_Daten!L$3=0))),IF(RB_Daten!L$11="","",RB_Daten!L$11),"")</f>
        <v/>
      </c>
      <c r="N111" s="84">
        <f>IF(AND(INDEX(Klassenliste!$B$6:$B$40,7)&lt;&gt;0,NOT(OR(RB_Daten!M$3="",RB_Daten!M$3=0))),IF(RB_Daten!M$11="","",RB_Daten!M$11),"")</f>
        <v/>
      </c>
      <c r="O111" s="85">
        <f>IF(INDEX(Klassenliste!$B$6:$B$40,7)&lt;&gt;0,IF(RB_Daten!$N11="","",RB_Daten!$N11),"")</f>
        <v/>
      </c>
    </row>
    <row r="112" ht="10" customHeight="1">
      <c r="B112" s="76" t="n"/>
      <c r="O112" s="74" t="n"/>
    </row>
    <row r="113" ht="24" customHeight="1">
      <c r="B113" s="73">
        <f>IF(INDEX(Klassenliste!$B$6:$B$40,7)&lt;&gt;0,IF(RB_Daten!$O11="","Ergebnis: –","Ergebnis: "&amp;ROUND(RB_Daten!$O11*100,1)&amp;" %"),"")</f>
        <v/>
      </c>
      <c r="F113" s="86">
        <f>IF(INDEX(Klassenliste!$B$6:$B$40,7)&lt;&gt;0,IF(RB_Daten!$P11="","Punkte: –","Punkte: "&amp;RB_Daten!$P11&amp;"  ("&amp;RB_Daten!$Q11&amp;")"),"")</f>
        <v/>
      </c>
      <c r="O113" s="74" t="n"/>
    </row>
    <row r="114" ht="16" customHeight="1">
      <c r="B114" s="87">
        <f>IF(INDEX(Klassenliste!$B$6:$B$40,7)&lt;&gt;0,"Notenschlüssel:","")</f>
        <v/>
      </c>
      <c r="C114" s="46">
        <f>IF(INDEX(Klassenliste!$B$6:$B$40,7)&lt;&gt;0,"Note 1","")</f>
        <v/>
      </c>
      <c r="D114" s="46">
        <f>IF(INDEX(Klassenliste!$B$6:$B$40,7)&lt;&gt;0,"Note 2","")</f>
        <v/>
      </c>
      <c r="E114" s="46">
        <f>IF(INDEX(Klassenliste!$B$6:$B$40,7)&lt;&gt;0,"Note 3","")</f>
        <v/>
      </c>
      <c r="F114" s="46">
        <f>IF(INDEX(Klassenliste!$B$6:$B$40,7)&lt;&gt;0,"Note 4","")</f>
        <v/>
      </c>
      <c r="G114" s="46">
        <f>IF(INDEX(Klassenliste!$B$6:$B$40,7)&lt;&gt;0,"Note 5","")</f>
        <v/>
      </c>
      <c r="H114" s="46">
        <f>IF(INDEX(Klassenliste!$B$6:$B$40,7)&lt;&gt;0,"Note 6","")</f>
        <v/>
      </c>
      <c r="O114" s="74" t="n"/>
    </row>
    <row r="115" ht="16" customHeight="1">
      <c r="B115" s="87">
        <f>IF(INDEX(Klassenliste!$B$6:$B$40,7)&lt;&gt;0,"ab Punkten:","")</f>
        <v/>
      </c>
      <c r="C115" s="88">
        <f>IF(AND(INDEX(Klassenliste!$B$6:$B$40,7)&lt;&gt;0,RB_Daten!$A$4&lt;&gt;""),CEILING(Notentabelle!$C$17*RB_Daten!$A$4,0.5),"")</f>
        <v/>
      </c>
      <c r="D115" s="88">
        <f>IF(AND(INDEX(Klassenliste!$B$6:$B$40,7)&lt;&gt;0,RB_Daten!$A$4&lt;&gt;""),CEILING(Notentabelle!$C$14*RB_Daten!$A$4,0.5),"")</f>
        <v/>
      </c>
      <c r="E115" s="88">
        <f>IF(AND(INDEX(Klassenliste!$B$6:$B$40,7)&lt;&gt;0,RB_Daten!$A$4&lt;&gt;""),CEILING(Notentabelle!$C$11*RB_Daten!$A$4,0.5),"")</f>
        <v/>
      </c>
      <c r="F115" s="88">
        <f>IF(AND(INDEX(Klassenliste!$B$6:$B$40,7)&lt;&gt;0,RB_Daten!$A$4&lt;&gt;""),CEILING(Notentabelle!$C$8*RB_Daten!$A$4,0.5),"")</f>
        <v/>
      </c>
      <c r="G115" s="88">
        <f>IF(AND(INDEX(Klassenliste!$B$6:$B$40,7)&lt;&gt;0,RB_Daten!$A$4&lt;&gt;""),CEILING(Notentabelle!$C$5*RB_Daten!$A$4,0.5),"")</f>
        <v/>
      </c>
      <c r="H115" s="88">
        <f>IF(AND(INDEX(Klassenliste!$B$6:$B$40,7)&lt;&gt;0,RB_Daten!$A$4&lt;&gt;""),CEILING(0*RB_Daten!$A$4,0.5),"")</f>
        <v/>
      </c>
      <c r="O115" s="74" t="n"/>
    </row>
    <row r="116" ht="14" customHeight="1">
      <c r="B116" s="76" t="n"/>
      <c r="O116" s="74" t="n"/>
    </row>
    <row r="117" ht="110" customHeight="1">
      <c r="B117" s="89">
        <f>IF(INDEX(Klassenliste!$B$6:$B$40,7)&lt;&gt;0,"Lob / Hinweis:","")</f>
        <v/>
      </c>
      <c r="C117" s="90">
        <f>IF(INDEX(Klassenliste!$B$6:$B$40,7)&lt;&gt;0,RB_Daten!$R$11,"")</f>
        <v/>
      </c>
      <c r="D117" s="91" t="n"/>
      <c r="E117" s="91" t="n"/>
      <c r="F117" s="91" t="n"/>
      <c r="G117" s="91" t="n"/>
      <c r="H117" s="91" t="n"/>
      <c r="I117" s="91" t="n"/>
      <c r="J117" s="91" t="n"/>
      <c r="K117" s="91" t="n"/>
      <c r="L117" s="91" t="n"/>
      <c r="M117" s="91" t="n"/>
      <c r="N117" s="91" t="n"/>
      <c r="O117" s="74" t="n"/>
    </row>
    <row r="118" ht="22" customHeight="1">
      <c r="B118" s="87">
        <f>IF(INDEX(Klassenliste!$B$6:$B$40,7)&lt;&gt;0,"Unterschrift Erziehungsberechtigte/r:","")</f>
        <v/>
      </c>
      <c r="F118" s="92" t="n"/>
      <c r="G118" s="92" t="n"/>
      <c r="H118" s="92" t="n"/>
      <c r="I118" s="92" t="n"/>
      <c r="O118" s="74" t="n"/>
    </row>
    <row r="119" ht="8" customHeight="1">
      <c r="B119" s="93" t="n"/>
      <c r="C119" s="94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94" t="n"/>
      <c r="N119" s="94" t="n"/>
      <c r="O119" s="95" t="n"/>
    </row>
    <row r="120" ht="27.5" customHeight="1"/>
    <row r="121" ht="27.5" customHeight="1"/>
    <row r="122" ht="6" customHeight="1">
      <c r="B122" s="70" t="n"/>
      <c r="C122" s="71" t="n"/>
      <c r="D122" s="71" t="n"/>
      <c r="E122" s="71" t="n"/>
      <c r="F122" s="71" t="n"/>
      <c r="G122" s="71" t="n"/>
      <c r="H122" s="71" t="n"/>
      <c r="I122" s="71" t="n"/>
      <c r="J122" s="71" t="n"/>
      <c r="K122" s="71" t="n"/>
      <c r="L122" s="71" t="n"/>
      <c r="M122" s="71" t="n"/>
      <c r="N122" s="71" t="n"/>
      <c r="O122" s="72" t="n"/>
    </row>
    <row r="123" ht="20" customHeight="1">
      <c r="B123" s="73">
        <f>IF(INDEX(Klassenliste!$B$6:$B$40,8)&lt;&gt;0,"Klausur "&amp;$C$2&amp;" · "&amp;Klassenliste!$E$2&amp;" · "&amp;Klassenliste!$J$2&amp;IF(RB_Daten!$A$3="",""," · "&amp;RB_Daten!$A$3),"")</f>
        <v/>
      </c>
      <c r="J123" s="12">
        <f>IF(INDEX(Klassenliste!$B$6:$B$40,8)&lt;&gt;0,IF(RB_Daten!$A$2="","Datum: ______","Datum: "&amp;IFERROR(TEXT(RB_Daten!$A$2,"TT.MM.JJJJ"),RB_Daten!$A$2)),"")</f>
        <v/>
      </c>
      <c r="O123" s="74" t="n"/>
    </row>
    <row r="124" ht="20" customHeight="1">
      <c r="B124" s="75">
        <f>IF(INDEX(Klassenliste!$B$6:$B$40,8)&lt;&gt;0,"Name: "&amp;INDEX(Klassenliste!$C$6:$C$40,8)&amp;" "&amp;INDEX(Klassenliste!$B$6:$B$40,8),"")</f>
        <v/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74" t="n"/>
    </row>
    <row r="125" ht="8" customHeight="1">
      <c r="B125" s="76" t="n"/>
      <c r="O125" s="74" t="n"/>
    </row>
    <row r="126" ht="18" customHeight="1">
      <c r="B126" s="77">
        <f>IF(INDEX(Klassenliste!$B$6:$B$40,8)&lt;&gt;0,"Aufgabe","")</f>
        <v/>
      </c>
      <c r="C126" s="78">
        <f>IF(AND(INDEX(Klassenliste!$B$6:$B$40,8)&lt;&gt;0,NOT(OR(RB_Daten!B$3="",RB_Daten!B$3=0))),RB_Daten!B$2,"")</f>
        <v/>
      </c>
      <c r="D126" s="78">
        <f>IF(AND(INDEX(Klassenliste!$B$6:$B$40,8)&lt;&gt;0,NOT(OR(RB_Daten!C$3="",RB_Daten!C$3=0))),RB_Daten!C$2,"")</f>
        <v/>
      </c>
      <c r="E126" s="78">
        <f>IF(AND(INDEX(Klassenliste!$B$6:$B$40,8)&lt;&gt;0,NOT(OR(RB_Daten!D$3="",RB_Daten!D$3=0))),RB_Daten!D$2,"")</f>
        <v/>
      </c>
      <c r="F126" s="78">
        <f>IF(AND(INDEX(Klassenliste!$B$6:$B$40,8)&lt;&gt;0,NOT(OR(RB_Daten!E$3="",RB_Daten!E$3=0))),RB_Daten!E$2,"")</f>
        <v/>
      </c>
      <c r="G126" s="78">
        <f>IF(AND(INDEX(Klassenliste!$B$6:$B$40,8)&lt;&gt;0,NOT(OR(RB_Daten!F$3="",RB_Daten!F$3=0))),RB_Daten!F$2,"")</f>
        <v/>
      </c>
      <c r="H126" s="78">
        <f>IF(AND(INDEX(Klassenliste!$B$6:$B$40,8)&lt;&gt;0,NOT(OR(RB_Daten!G$3="",RB_Daten!G$3=0))),RB_Daten!G$2,"")</f>
        <v/>
      </c>
      <c r="I126" s="78">
        <f>IF(AND(INDEX(Klassenliste!$B$6:$B$40,8)&lt;&gt;0,NOT(OR(RB_Daten!H$3="",RB_Daten!H$3=0))),RB_Daten!H$2,"")</f>
        <v/>
      </c>
      <c r="J126" s="78">
        <f>IF(AND(INDEX(Klassenliste!$B$6:$B$40,8)&lt;&gt;0,NOT(OR(RB_Daten!I$3="",RB_Daten!I$3=0))),RB_Daten!I$2,"")</f>
        <v/>
      </c>
      <c r="K126" s="78">
        <f>IF(AND(INDEX(Klassenliste!$B$6:$B$40,8)&lt;&gt;0,NOT(OR(RB_Daten!J$3="",RB_Daten!J$3=0))),RB_Daten!J$2,"")</f>
        <v/>
      </c>
      <c r="L126" s="78">
        <f>IF(AND(INDEX(Klassenliste!$B$6:$B$40,8)&lt;&gt;0,NOT(OR(RB_Daten!K$3="",RB_Daten!K$3=0))),RB_Daten!K$2,"")</f>
        <v/>
      </c>
      <c r="M126" s="78">
        <f>IF(AND(INDEX(Klassenliste!$B$6:$B$40,8)&lt;&gt;0,NOT(OR(RB_Daten!L$3="",RB_Daten!L$3=0))),RB_Daten!L$2,"")</f>
        <v/>
      </c>
      <c r="N126" s="78">
        <f>IF(AND(INDEX(Klassenliste!$B$6:$B$40,8)&lt;&gt;0,NOT(OR(RB_Daten!M$3="",RB_Daten!M$3=0))),RB_Daten!M$2,"")</f>
        <v/>
      </c>
      <c r="O126" s="79">
        <f>IF(INDEX(Klassenliste!$B$6:$B$40,8)&lt;&gt;0,"Gesamt","")</f>
        <v/>
      </c>
    </row>
    <row r="127" ht="18" customHeight="1">
      <c r="B127" s="80">
        <f>IF(INDEX(Klassenliste!$B$6:$B$40,8)&lt;&gt;0,"max. Punkte","")</f>
        <v/>
      </c>
      <c r="C127" s="81">
        <f>IF(AND(INDEX(Klassenliste!$B$6:$B$40,8)&lt;&gt;0,NOT(OR(RB_Daten!B$3="",RB_Daten!B$3=0))),RB_Daten!B$3,"")</f>
        <v/>
      </c>
      <c r="D127" s="81">
        <f>IF(AND(INDEX(Klassenliste!$B$6:$B$40,8)&lt;&gt;0,NOT(OR(RB_Daten!C$3="",RB_Daten!C$3=0))),RB_Daten!C$3,"")</f>
        <v/>
      </c>
      <c r="E127" s="81">
        <f>IF(AND(INDEX(Klassenliste!$B$6:$B$40,8)&lt;&gt;0,NOT(OR(RB_Daten!D$3="",RB_Daten!D$3=0))),RB_Daten!D$3,"")</f>
        <v/>
      </c>
      <c r="F127" s="81">
        <f>IF(AND(INDEX(Klassenliste!$B$6:$B$40,8)&lt;&gt;0,NOT(OR(RB_Daten!E$3="",RB_Daten!E$3=0))),RB_Daten!E$3,"")</f>
        <v/>
      </c>
      <c r="G127" s="81">
        <f>IF(AND(INDEX(Klassenliste!$B$6:$B$40,8)&lt;&gt;0,NOT(OR(RB_Daten!F$3="",RB_Daten!F$3=0))),RB_Daten!F$3,"")</f>
        <v/>
      </c>
      <c r="H127" s="81">
        <f>IF(AND(INDEX(Klassenliste!$B$6:$B$40,8)&lt;&gt;0,NOT(OR(RB_Daten!G$3="",RB_Daten!G$3=0))),RB_Daten!G$3,"")</f>
        <v/>
      </c>
      <c r="I127" s="81">
        <f>IF(AND(INDEX(Klassenliste!$B$6:$B$40,8)&lt;&gt;0,NOT(OR(RB_Daten!H$3="",RB_Daten!H$3=0))),RB_Daten!H$3,"")</f>
        <v/>
      </c>
      <c r="J127" s="81">
        <f>IF(AND(INDEX(Klassenliste!$B$6:$B$40,8)&lt;&gt;0,NOT(OR(RB_Daten!I$3="",RB_Daten!I$3=0))),RB_Daten!I$3,"")</f>
        <v/>
      </c>
      <c r="K127" s="81">
        <f>IF(AND(INDEX(Klassenliste!$B$6:$B$40,8)&lt;&gt;0,NOT(OR(RB_Daten!J$3="",RB_Daten!J$3=0))),RB_Daten!J$3,"")</f>
        <v/>
      </c>
      <c r="L127" s="81">
        <f>IF(AND(INDEX(Klassenliste!$B$6:$B$40,8)&lt;&gt;0,NOT(OR(RB_Daten!K$3="",RB_Daten!K$3=0))),RB_Daten!K$3,"")</f>
        <v/>
      </c>
      <c r="M127" s="81">
        <f>IF(AND(INDEX(Klassenliste!$B$6:$B$40,8)&lt;&gt;0,NOT(OR(RB_Daten!L$3="",RB_Daten!L$3=0))),RB_Daten!L$3,"")</f>
        <v/>
      </c>
      <c r="N127" s="81">
        <f>IF(AND(INDEX(Klassenliste!$B$6:$B$40,8)&lt;&gt;0,NOT(OR(RB_Daten!M$3="",RB_Daten!M$3=0))),RB_Daten!M$3,"")</f>
        <v/>
      </c>
      <c r="O127" s="82">
        <f>IF(INDEX(Klassenliste!$B$6:$B$40,8)&lt;&gt;0,IF(RB_Daten!$A$4="","",RB_Daten!$A$4),"")</f>
        <v/>
      </c>
    </row>
    <row r="128" ht="18" customHeight="1">
      <c r="B128" s="83">
        <f>IF(INDEX(Klassenliste!$B$6:$B$40,8)&lt;&gt;0,"erreicht","")</f>
        <v/>
      </c>
      <c r="C128" s="84">
        <f>IF(AND(INDEX(Klassenliste!$B$6:$B$40,8)&lt;&gt;0,NOT(OR(RB_Daten!B$3="",RB_Daten!B$3=0))),IF(RB_Daten!B$12="","",RB_Daten!B$12),"")</f>
        <v/>
      </c>
      <c r="D128" s="84">
        <f>IF(AND(INDEX(Klassenliste!$B$6:$B$40,8)&lt;&gt;0,NOT(OR(RB_Daten!C$3="",RB_Daten!C$3=0))),IF(RB_Daten!C$12="","",RB_Daten!C$12),"")</f>
        <v/>
      </c>
      <c r="E128" s="84">
        <f>IF(AND(INDEX(Klassenliste!$B$6:$B$40,8)&lt;&gt;0,NOT(OR(RB_Daten!D$3="",RB_Daten!D$3=0))),IF(RB_Daten!D$12="","",RB_Daten!D$12),"")</f>
        <v/>
      </c>
      <c r="F128" s="84">
        <f>IF(AND(INDEX(Klassenliste!$B$6:$B$40,8)&lt;&gt;0,NOT(OR(RB_Daten!E$3="",RB_Daten!E$3=0))),IF(RB_Daten!E$12="","",RB_Daten!E$12),"")</f>
        <v/>
      </c>
      <c r="G128" s="84">
        <f>IF(AND(INDEX(Klassenliste!$B$6:$B$40,8)&lt;&gt;0,NOT(OR(RB_Daten!F$3="",RB_Daten!F$3=0))),IF(RB_Daten!F$12="","",RB_Daten!F$12),"")</f>
        <v/>
      </c>
      <c r="H128" s="84">
        <f>IF(AND(INDEX(Klassenliste!$B$6:$B$40,8)&lt;&gt;0,NOT(OR(RB_Daten!G$3="",RB_Daten!G$3=0))),IF(RB_Daten!G$12="","",RB_Daten!G$12),"")</f>
        <v/>
      </c>
      <c r="I128" s="84">
        <f>IF(AND(INDEX(Klassenliste!$B$6:$B$40,8)&lt;&gt;0,NOT(OR(RB_Daten!H$3="",RB_Daten!H$3=0))),IF(RB_Daten!H$12="","",RB_Daten!H$12),"")</f>
        <v/>
      </c>
      <c r="J128" s="84">
        <f>IF(AND(INDEX(Klassenliste!$B$6:$B$40,8)&lt;&gt;0,NOT(OR(RB_Daten!I$3="",RB_Daten!I$3=0))),IF(RB_Daten!I$12="","",RB_Daten!I$12),"")</f>
        <v/>
      </c>
      <c r="K128" s="84">
        <f>IF(AND(INDEX(Klassenliste!$B$6:$B$40,8)&lt;&gt;0,NOT(OR(RB_Daten!J$3="",RB_Daten!J$3=0))),IF(RB_Daten!J$12="","",RB_Daten!J$12),"")</f>
        <v/>
      </c>
      <c r="L128" s="84">
        <f>IF(AND(INDEX(Klassenliste!$B$6:$B$40,8)&lt;&gt;0,NOT(OR(RB_Daten!K$3="",RB_Daten!K$3=0))),IF(RB_Daten!K$12="","",RB_Daten!K$12),"")</f>
        <v/>
      </c>
      <c r="M128" s="84">
        <f>IF(AND(INDEX(Klassenliste!$B$6:$B$40,8)&lt;&gt;0,NOT(OR(RB_Daten!L$3="",RB_Daten!L$3=0))),IF(RB_Daten!L$12="","",RB_Daten!L$12),"")</f>
        <v/>
      </c>
      <c r="N128" s="84">
        <f>IF(AND(INDEX(Klassenliste!$B$6:$B$40,8)&lt;&gt;0,NOT(OR(RB_Daten!M$3="",RB_Daten!M$3=0))),IF(RB_Daten!M$12="","",RB_Daten!M$12),"")</f>
        <v/>
      </c>
      <c r="O128" s="85">
        <f>IF(INDEX(Klassenliste!$B$6:$B$40,8)&lt;&gt;0,IF(RB_Daten!$N12="","",RB_Daten!$N12),"")</f>
        <v/>
      </c>
    </row>
    <row r="129" ht="10" customHeight="1">
      <c r="B129" s="76" t="n"/>
      <c r="O129" s="74" t="n"/>
    </row>
    <row r="130" ht="24" customHeight="1">
      <c r="B130" s="73">
        <f>IF(INDEX(Klassenliste!$B$6:$B$40,8)&lt;&gt;0,IF(RB_Daten!$O12="","Ergebnis: –","Ergebnis: "&amp;ROUND(RB_Daten!$O12*100,1)&amp;" %"),"")</f>
        <v/>
      </c>
      <c r="F130" s="86">
        <f>IF(INDEX(Klassenliste!$B$6:$B$40,8)&lt;&gt;0,IF(RB_Daten!$P12="","Punkte: –","Punkte: "&amp;RB_Daten!$P12&amp;"  ("&amp;RB_Daten!$Q12&amp;")"),"")</f>
        <v/>
      </c>
      <c r="O130" s="74" t="n"/>
    </row>
    <row r="131" ht="16" customHeight="1">
      <c r="B131" s="87">
        <f>IF(INDEX(Klassenliste!$B$6:$B$40,8)&lt;&gt;0,"Notenschlüssel:","")</f>
        <v/>
      </c>
      <c r="C131" s="46">
        <f>IF(INDEX(Klassenliste!$B$6:$B$40,8)&lt;&gt;0,"Note 1","")</f>
        <v/>
      </c>
      <c r="D131" s="46">
        <f>IF(INDEX(Klassenliste!$B$6:$B$40,8)&lt;&gt;0,"Note 2","")</f>
        <v/>
      </c>
      <c r="E131" s="46">
        <f>IF(INDEX(Klassenliste!$B$6:$B$40,8)&lt;&gt;0,"Note 3","")</f>
        <v/>
      </c>
      <c r="F131" s="46">
        <f>IF(INDEX(Klassenliste!$B$6:$B$40,8)&lt;&gt;0,"Note 4","")</f>
        <v/>
      </c>
      <c r="G131" s="46">
        <f>IF(INDEX(Klassenliste!$B$6:$B$40,8)&lt;&gt;0,"Note 5","")</f>
        <v/>
      </c>
      <c r="H131" s="46">
        <f>IF(INDEX(Klassenliste!$B$6:$B$40,8)&lt;&gt;0,"Note 6","")</f>
        <v/>
      </c>
      <c r="O131" s="74" t="n"/>
    </row>
    <row r="132" ht="16" customHeight="1">
      <c r="B132" s="87">
        <f>IF(INDEX(Klassenliste!$B$6:$B$40,8)&lt;&gt;0,"ab Punkten:","")</f>
        <v/>
      </c>
      <c r="C132" s="88">
        <f>IF(AND(INDEX(Klassenliste!$B$6:$B$40,8)&lt;&gt;0,RB_Daten!$A$4&lt;&gt;""),CEILING(Notentabelle!$C$17*RB_Daten!$A$4,0.5),"")</f>
        <v/>
      </c>
      <c r="D132" s="88">
        <f>IF(AND(INDEX(Klassenliste!$B$6:$B$40,8)&lt;&gt;0,RB_Daten!$A$4&lt;&gt;""),CEILING(Notentabelle!$C$14*RB_Daten!$A$4,0.5),"")</f>
        <v/>
      </c>
      <c r="E132" s="88">
        <f>IF(AND(INDEX(Klassenliste!$B$6:$B$40,8)&lt;&gt;0,RB_Daten!$A$4&lt;&gt;""),CEILING(Notentabelle!$C$11*RB_Daten!$A$4,0.5),"")</f>
        <v/>
      </c>
      <c r="F132" s="88">
        <f>IF(AND(INDEX(Klassenliste!$B$6:$B$40,8)&lt;&gt;0,RB_Daten!$A$4&lt;&gt;""),CEILING(Notentabelle!$C$8*RB_Daten!$A$4,0.5),"")</f>
        <v/>
      </c>
      <c r="G132" s="88">
        <f>IF(AND(INDEX(Klassenliste!$B$6:$B$40,8)&lt;&gt;0,RB_Daten!$A$4&lt;&gt;""),CEILING(Notentabelle!$C$5*RB_Daten!$A$4,0.5),"")</f>
        <v/>
      </c>
      <c r="H132" s="88">
        <f>IF(AND(INDEX(Klassenliste!$B$6:$B$40,8)&lt;&gt;0,RB_Daten!$A$4&lt;&gt;""),CEILING(0*RB_Daten!$A$4,0.5),"")</f>
        <v/>
      </c>
      <c r="O132" s="74" t="n"/>
    </row>
    <row r="133" ht="14" customHeight="1">
      <c r="B133" s="76" t="n"/>
      <c r="O133" s="74" t="n"/>
    </row>
    <row r="134" ht="110" customHeight="1">
      <c r="B134" s="89">
        <f>IF(INDEX(Klassenliste!$B$6:$B$40,8)&lt;&gt;0,"Lob / Hinweis:","")</f>
        <v/>
      </c>
      <c r="C134" s="90">
        <f>IF(INDEX(Klassenliste!$B$6:$B$40,8)&lt;&gt;0,RB_Daten!$R$12,"")</f>
        <v/>
      </c>
      <c r="D134" s="91" t="n"/>
      <c r="E134" s="91" t="n"/>
      <c r="F134" s="91" t="n"/>
      <c r="G134" s="91" t="n"/>
      <c r="H134" s="91" t="n"/>
      <c r="I134" s="91" t="n"/>
      <c r="J134" s="91" t="n"/>
      <c r="K134" s="91" t="n"/>
      <c r="L134" s="91" t="n"/>
      <c r="M134" s="91" t="n"/>
      <c r="N134" s="91" t="n"/>
      <c r="O134" s="74" t="n"/>
    </row>
    <row r="135" ht="22" customHeight="1">
      <c r="B135" s="87">
        <f>IF(INDEX(Klassenliste!$B$6:$B$40,8)&lt;&gt;0,"Unterschrift Erziehungsberechtigte/r:","")</f>
        <v/>
      </c>
      <c r="F135" s="92" t="n"/>
      <c r="G135" s="92" t="n"/>
      <c r="H135" s="92" t="n"/>
      <c r="I135" s="92" t="n"/>
      <c r="O135" s="74" t="n"/>
    </row>
    <row r="136" ht="8" customHeight="1">
      <c r="B136" s="93" t="n"/>
      <c r="C136" s="94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94" t="n"/>
      <c r="N136" s="94" t="n"/>
      <c r="O136" s="95" t="n"/>
    </row>
    <row r="137" ht="27.5" customHeight="1"/>
    <row r="138" ht="27.5" customHeight="1"/>
    <row r="139" ht="6" customHeight="1">
      <c r="B139" s="70" t="n"/>
      <c r="C139" s="71" t="n"/>
      <c r="D139" s="71" t="n"/>
      <c r="E139" s="71" t="n"/>
      <c r="F139" s="71" t="n"/>
      <c r="G139" s="71" t="n"/>
      <c r="H139" s="71" t="n"/>
      <c r="I139" s="71" t="n"/>
      <c r="J139" s="71" t="n"/>
      <c r="K139" s="71" t="n"/>
      <c r="L139" s="71" t="n"/>
      <c r="M139" s="71" t="n"/>
      <c r="N139" s="71" t="n"/>
      <c r="O139" s="72" t="n"/>
    </row>
    <row r="140" ht="20" customHeight="1">
      <c r="B140" s="73">
        <f>IF(INDEX(Klassenliste!$B$6:$B$40,9)&lt;&gt;0,"Klausur "&amp;$C$2&amp;" · "&amp;Klassenliste!$E$2&amp;" · "&amp;Klassenliste!$J$2&amp;IF(RB_Daten!$A$3="",""," · "&amp;RB_Daten!$A$3),"")</f>
        <v/>
      </c>
      <c r="J140" s="12">
        <f>IF(INDEX(Klassenliste!$B$6:$B$40,9)&lt;&gt;0,IF(RB_Daten!$A$2="","Datum: ______","Datum: "&amp;IFERROR(TEXT(RB_Daten!$A$2,"TT.MM.JJJJ"),RB_Daten!$A$2)),"")</f>
        <v/>
      </c>
      <c r="O140" s="74" t="n"/>
    </row>
    <row r="141" ht="20" customHeight="1">
      <c r="B141" s="75">
        <f>IF(INDEX(Klassenliste!$B$6:$B$40,9)&lt;&gt;0,"Name: "&amp;INDEX(Klassenliste!$C$6:$C$40,9)&amp;" "&amp;INDEX(Klassenliste!$B$6:$B$40,9),"")</f>
        <v/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74" t="n"/>
    </row>
    <row r="142" ht="8" customHeight="1">
      <c r="B142" s="76" t="n"/>
      <c r="O142" s="74" t="n"/>
    </row>
    <row r="143" ht="18" customHeight="1">
      <c r="B143" s="77">
        <f>IF(INDEX(Klassenliste!$B$6:$B$40,9)&lt;&gt;0,"Aufgabe","")</f>
        <v/>
      </c>
      <c r="C143" s="78">
        <f>IF(AND(INDEX(Klassenliste!$B$6:$B$40,9)&lt;&gt;0,NOT(OR(RB_Daten!B$3="",RB_Daten!B$3=0))),RB_Daten!B$2,"")</f>
        <v/>
      </c>
      <c r="D143" s="78">
        <f>IF(AND(INDEX(Klassenliste!$B$6:$B$40,9)&lt;&gt;0,NOT(OR(RB_Daten!C$3="",RB_Daten!C$3=0))),RB_Daten!C$2,"")</f>
        <v/>
      </c>
      <c r="E143" s="78">
        <f>IF(AND(INDEX(Klassenliste!$B$6:$B$40,9)&lt;&gt;0,NOT(OR(RB_Daten!D$3="",RB_Daten!D$3=0))),RB_Daten!D$2,"")</f>
        <v/>
      </c>
      <c r="F143" s="78">
        <f>IF(AND(INDEX(Klassenliste!$B$6:$B$40,9)&lt;&gt;0,NOT(OR(RB_Daten!E$3="",RB_Daten!E$3=0))),RB_Daten!E$2,"")</f>
        <v/>
      </c>
      <c r="G143" s="78">
        <f>IF(AND(INDEX(Klassenliste!$B$6:$B$40,9)&lt;&gt;0,NOT(OR(RB_Daten!F$3="",RB_Daten!F$3=0))),RB_Daten!F$2,"")</f>
        <v/>
      </c>
      <c r="H143" s="78">
        <f>IF(AND(INDEX(Klassenliste!$B$6:$B$40,9)&lt;&gt;0,NOT(OR(RB_Daten!G$3="",RB_Daten!G$3=0))),RB_Daten!G$2,"")</f>
        <v/>
      </c>
      <c r="I143" s="78">
        <f>IF(AND(INDEX(Klassenliste!$B$6:$B$40,9)&lt;&gt;0,NOT(OR(RB_Daten!H$3="",RB_Daten!H$3=0))),RB_Daten!H$2,"")</f>
        <v/>
      </c>
      <c r="J143" s="78">
        <f>IF(AND(INDEX(Klassenliste!$B$6:$B$40,9)&lt;&gt;0,NOT(OR(RB_Daten!I$3="",RB_Daten!I$3=0))),RB_Daten!I$2,"")</f>
        <v/>
      </c>
      <c r="K143" s="78">
        <f>IF(AND(INDEX(Klassenliste!$B$6:$B$40,9)&lt;&gt;0,NOT(OR(RB_Daten!J$3="",RB_Daten!J$3=0))),RB_Daten!J$2,"")</f>
        <v/>
      </c>
      <c r="L143" s="78">
        <f>IF(AND(INDEX(Klassenliste!$B$6:$B$40,9)&lt;&gt;0,NOT(OR(RB_Daten!K$3="",RB_Daten!K$3=0))),RB_Daten!K$2,"")</f>
        <v/>
      </c>
      <c r="M143" s="78">
        <f>IF(AND(INDEX(Klassenliste!$B$6:$B$40,9)&lt;&gt;0,NOT(OR(RB_Daten!L$3="",RB_Daten!L$3=0))),RB_Daten!L$2,"")</f>
        <v/>
      </c>
      <c r="N143" s="78">
        <f>IF(AND(INDEX(Klassenliste!$B$6:$B$40,9)&lt;&gt;0,NOT(OR(RB_Daten!M$3="",RB_Daten!M$3=0))),RB_Daten!M$2,"")</f>
        <v/>
      </c>
      <c r="O143" s="79">
        <f>IF(INDEX(Klassenliste!$B$6:$B$40,9)&lt;&gt;0,"Gesamt","")</f>
        <v/>
      </c>
    </row>
    <row r="144" ht="18" customHeight="1">
      <c r="B144" s="80">
        <f>IF(INDEX(Klassenliste!$B$6:$B$40,9)&lt;&gt;0,"max. Punkte","")</f>
        <v/>
      </c>
      <c r="C144" s="81">
        <f>IF(AND(INDEX(Klassenliste!$B$6:$B$40,9)&lt;&gt;0,NOT(OR(RB_Daten!B$3="",RB_Daten!B$3=0))),RB_Daten!B$3,"")</f>
        <v/>
      </c>
      <c r="D144" s="81">
        <f>IF(AND(INDEX(Klassenliste!$B$6:$B$40,9)&lt;&gt;0,NOT(OR(RB_Daten!C$3="",RB_Daten!C$3=0))),RB_Daten!C$3,"")</f>
        <v/>
      </c>
      <c r="E144" s="81">
        <f>IF(AND(INDEX(Klassenliste!$B$6:$B$40,9)&lt;&gt;0,NOT(OR(RB_Daten!D$3="",RB_Daten!D$3=0))),RB_Daten!D$3,"")</f>
        <v/>
      </c>
      <c r="F144" s="81">
        <f>IF(AND(INDEX(Klassenliste!$B$6:$B$40,9)&lt;&gt;0,NOT(OR(RB_Daten!E$3="",RB_Daten!E$3=0))),RB_Daten!E$3,"")</f>
        <v/>
      </c>
      <c r="G144" s="81">
        <f>IF(AND(INDEX(Klassenliste!$B$6:$B$40,9)&lt;&gt;0,NOT(OR(RB_Daten!F$3="",RB_Daten!F$3=0))),RB_Daten!F$3,"")</f>
        <v/>
      </c>
      <c r="H144" s="81">
        <f>IF(AND(INDEX(Klassenliste!$B$6:$B$40,9)&lt;&gt;0,NOT(OR(RB_Daten!G$3="",RB_Daten!G$3=0))),RB_Daten!G$3,"")</f>
        <v/>
      </c>
      <c r="I144" s="81">
        <f>IF(AND(INDEX(Klassenliste!$B$6:$B$40,9)&lt;&gt;0,NOT(OR(RB_Daten!H$3="",RB_Daten!H$3=0))),RB_Daten!H$3,"")</f>
        <v/>
      </c>
      <c r="J144" s="81">
        <f>IF(AND(INDEX(Klassenliste!$B$6:$B$40,9)&lt;&gt;0,NOT(OR(RB_Daten!I$3="",RB_Daten!I$3=0))),RB_Daten!I$3,"")</f>
        <v/>
      </c>
      <c r="K144" s="81">
        <f>IF(AND(INDEX(Klassenliste!$B$6:$B$40,9)&lt;&gt;0,NOT(OR(RB_Daten!J$3="",RB_Daten!J$3=0))),RB_Daten!J$3,"")</f>
        <v/>
      </c>
      <c r="L144" s="81">
        <f>IF(AND(INDEX(Klassenliste!$B$6:$B$40,9)&lt;&gt;0,NOT(OR(RB_Daten!K$3="",RB_Daten!K$3=0))),RB_Daten!K$3,"")</f>
        <v/>
      </c>
      <c r="M144" s="81">
        <f>IF(AND(INDEX(Klassenliste!$B$6:$B$40,9)&lt;&gt;0,NOT(OR(RB_Daten!L$3="",RB_Daten!L$3=0))),RB_Daten!L$3,"")</f>
        <v/>
      </c>
      <c r="N144" s="81">
        <f>IF(AND(INDEX(Klassenliste!$B$6:$B$40,9)&lt;&gt;0,NOT(OR(RB_Daten!M$3="",RB_Daten!M$3=0))),RB_Daten!M$3,"")</f>
        <v/>
      </c>
      <c r="O144" s="82">
        <f>IF(INDEX(Klassenliste!$B$6:$B$40,9)&lt;&gt;0,IF(RB_Daten!$A$4="","",RB_Daten!$A$4),"")</f>
        <v/>
      </c>
    </row>
    <row r="145" ht="18" customHeight="1">
      <c r="B145" s="83">
        <f>IF(INDEX(Klassenliste!$B$6:$B$40,9)&lt;&gt;0,"erreicht","")</f>
        <v/>
      </c>
      <c r="C145" s="84">
        <f>IF(AND(INDEX(Klassenliste!$B$6:$B$40,9)&lt;&gt;0,NOT(OR(RB_Daten!B$3="",RB_Daten!B$3=0))),IF(RB_Daten!B$13="","",RB_Daten!B$13),"")</f>
        <v/>
      </c>
      <c r="D145" s="84">
        <f>IF(AND(INDEX(Klassenliste!$B$6:$B$40,9)&lt;&gt;0,NOT(OR(RB_Daten!C$3="",RB_Daten!C$3=0))),IF(RB_Daten!C$13="","",RB_Daten!C$13),"")</f>
        <v/>
      </c>
      <c r="E145" s="84">
        <f>IF(AND(INDEX(Klassenliste!$B$6:$B$40,9)&lt;&gt;0,NOT(OR(RB_Daten!D$3="",RB_Daten!D$3=0))),IF(RB_Daten!D$13="","",RB_Daten!D$13),"")</f>
        <v/>
      </c>
      <c r="F145" s="84">
        <f>IF(AND(INDEX(Klassenliste!$B$6:$B$40,9)&lt;&gt;0,NOT(OR(RB_Daten!E$3="",RB_Daten!E$3=0))),IF(RB_Daten!E$13="","",RB_Daten!E$13),"")</f>
        <v/>
      </c>
      <c r="G145" s="84">
        <f>IF(AND(INDEX(Klassenliste!$B$6:$B$40,9)&lt;&gt;0,NOT(OR(RB_Daten!F$3="",RB_Daten!F$3=0))),IF(RB_Daten!F$13="","",RB_Daten!F$13),"")</f>
        <v/>
      </c>
      <c r="H145" s="84">
        <f>IF(AND(INDEX(Klassenliste!$B$6:$B$40,9)&lt;&gt;0,NOT(OR(RB_Daten!G$3="",RB_Daten!G$3=0))),IF(RB_Daten!G$13="","",RB_Daten!G$13),"")</f>
        <v/>
      </c>
      <c r="I145" s="84">
        <f>IF(AND(INDEX(Klassenliste!$B$6:$B$40,9)&lt;&gt;0,NOT(OR(RB_Daten!H$3="",RB_Daten!H$3=0))),IF(RB_Daten!H$13="","",RB_Daten!H$13),"")</f>
        <v/>
      </c>
      <c r="J145" s="84">
        <f>IF(AND(INDEX(Klassenliste!$B$6:$B$40,9)&lt;&gt;0,NOT(OR(RB_Daten!I$3="",RB_Daten!I$3=0))),IF(RB_Daten!I$13="","",RB_Daten!I$13),"")</f>
        <v/>
      </c>
      <c r="K145" s="84">
        <f>IF(AND(INDEX(Klassenliste!$B$6:$B$40,9)&lt;&gt;0,NOT(OR(RB_Daten!J$3="",RB_Daten!J$3=0))),IF(RB_Daten!J$13="","",RB_Daten!J$13),"")</f>
        <v/>
      </c>
      <c r="L145" s="84">
        <f>IF(AND(INDEX(Klassenliste!$B$6:$B$40,9)&lt;&gt;0,NOT(OR(RB_Daten!K$3="",RB_Daten!K$3=0))),IF(RB_Daten!K$13="","",RB_Daten!K$13),"")</f>
        <v/>
      </c>
      <c r="M145" s="84">
        <f>IF(AND(INDEX(Klassenliste!$B$6:$B$40,9)&lt;&gt;0,NOT(OR(RB_Daten!L$3="",RB_Daten!L$3=0))),IF(RB_Daten!L$13="","",RB_Daten!L$13),"")</f>
        <v/>
      </c>
      <c r="N145" s="84">
        <f>IF(AND(INDEX(Klassenliste!$B$6:$B$40,9)&lt;&gt;0,NOT(OR(RB_Daten!M$3="",RB_Daten!M$3=0))),IF(RB_Daten!M$13="","",RB_Daten!M$13),"")</f>
        <v/>
      </c>
      <c r="O145" s="85">
        <f>IF(INDEX(Klassenliste!$B$6:$B$40,9)&lt;&gt;0,IF(RB_Daten!$N13="","",RB_Daten!$N13),"")</f>
        <v/>
      </c>
    </row>
    <row r="146" ht="10" customHeight="1">
      <c r="B146" s="76" t="n"/>
      <c r="O146" s="74" t="n"/>
    </row>
    <row r="147" ht="24" customHeight="1">
      <c r="B147" s="73">
        <f>IF(INDEX(Klassenliste!$B$6:$B$40,9)&lt;&gt;0,IF(RB_Daten!$O13="","Ergebnis: –","Ergebnis: "&amp;ROUND(RB_Daten!$O13*100,1)&amp;" %"),"")</f>
        <v/>
      </c>
      <c r="F147" s="86">
        <f>IF(INDEX(Klassenliste!$B$6:$B$40,9)&lt;&gt;0,IF(RB_Daten!$P13="","Punkte: –","Punkte: "&amp;RB_Daten!$P13&amp;"  ("&amp;RB_Daten!$Q13&amp;")"),"")</f>
        <v/>
      </c>
      <c r="O147" s="74" t="n"/>
    </row>
    <row r="148" ht="16" customHeight="1">
      <c r="B148" s="87">
        <f>IF(INDEX(Klassenliste!$B$6:$B$40,9)&lt;&gt;0,"Notenschlüssel:","")</f>
        <v/>
      </c>
      <c r="C148" s="46">
        <f>IF(INDEX(Klassenliste!$B$6:$B$40,9)&lt;&gt;0,"Note 1","")</f>
        <v/>
      </c>
      <c r="D148" s="46">
        <f>IF(INDEX(Klassenliste!$B$6:$B$40,9)&lt;&gt;0,"Note 2","")</f>
        <v/>
      </c>
      <c r="E148" s="46">
        <f>IF(INDEX(Klassenliste!$B$6:$B$40,9)&lt;&gt;0,"Note 3","")</f>
        <v/>
      </c>
      <c r="F148" s="46">
        <f>IF(INDEX(Klassenliste!$B$6:$B$40,9)&lt;&gt;0,"Note 4","")</f>
        <v/>
      </c>
      <c r="G148" s="46">
        <f>IF(INDEX(Klassenliste!$B$6:$B$40,9)&lt;&gt;0,"Note 5","")</f>
        <v/>
      </c>
      <c r="H148" s="46">
        <f>IF(INDEX(Klassenliste!$B$6:$B$40,9)&lt;&gt;0,"Note 6","")</f>
        <v/>
      </c>
      <c r="O148" s="74" t="n"/>
    </row>
    <row r="149" ht="16" customHeight="1">
      <c r="B149" s="87">
        <f>IF(INDEX(Klassenliste!$B$6:$B$40,9)&lt;&gt;0,"ab Punkten:","")</f>
        <v/>
      </c>
      <c r="C149" s="88">
        <f>IF(AND(INDEX(Klassenliste!$B$6:$B$40,9)&lt;&gt;0,RB_Daten!$A$4&lt;&gt;""),CEILING(Notentabelle!$C$17*RB_Daten!$A$4,0.5),"")</f>
        <v/>
      </c>
      <c r="D149" s="88">
        <f>IF(AND(INDEX(Klassenliste!$B$6:$B$40,9)&lt;&gt;0,RB_Daten!$A$4&lt;&gt;""),CEILING(Notentabelle!$C$14*RB_Daten!$A$4,0.5),"")</f>
        <v/>
      </c>
      <c r="E149" s="88">
        <f>IF(AND(INDEX(Klassenliste!$B$6:$B$40,9)&lt;&gt;0,RB_Daten!$A$4&lt;&gt;""),CEILING(Notentabelle!$C$11*RB_Daten!$A$4,0.5),"")</f>
        <v/>
      </c>
      <c r="F149" s="88">
        <f>IF(AND(INDEX(Klassenliste!$B$6:$B$40,9)&lt;&gt;0,RB_Daten!$A$4&lt;&gt;""),CEILING(Notentabelle!$C$8*RB_Daten!$A$4,0.5),"")</f>
        <v/>
      </c>
      <c r="G149" s="88">
        <f>IF(AND(INDEX(Klassenliste!$B$6:$B$40,9)&lt;&gt;0,RB_Daten!$A$4&lt;&gt;""),CEILING(Notentabelle!$C$5*RB_Daten!$A$4,0.5),"")</f>
        <v/>
      </c>
      <c r="H149" s="88">
        <f>IF(AND(INDEX(Klassenliste!$B$6:$B$40,9)&lt;&gt;0,RB_Daten!$A$4&lt;&gt;""),CEILING(0*RB_Daten!$A$4,0.5),"")</f>
        <v/>
      </c>
      <c r="O149" s="74" t="n"/>
    </row>
    <row r="150" ht="14" customHeight="1">
      <c r="B150" s="76" t="n"/>
      <c r="O150" s="74" t="n"/>
    </row>
    <row r="151" ht="110" customHeight="1">
      <c r="B151" s="89">
        <f>IF(INDEX(Klassenliste!$B$6:$B$40,9)&lt;&gt;0,"Lob / Hinweis:","")</f>
        <v/>
      </c>
      <c r="C151" s="90">
        <f>IF(INDEX(Klassenliste!$B$6:$B$40,9)&lt;&gt;0,RB_Daten!$R$13,"")</f>
        <v/>
      </c>
      <c r="D151" s="91" t="n"/>
      <c r="E151" s="91" t="n"/>
      <c r="F151" s="91" t="n"/>
      <c r="G151" s="91" t="n"/>
      <c r="H151" s="91" t="n"/>
      <c r="I151" s="91" t="n"/>
      <c r="J151" s="91" t="n"/>
      <c r="K151" s="91" t="n"/>
      <c r="L151" s="91" t="n"/>
      <c r="M151" s="91" t="n"/>
      <c r="N151" s="91" t="n"/>
      <c r="O151" s="74" t="n"/>
    </row>
    <row r="152" ht="22" customHeight="1">
      <c r="B152" s="87">
        <f>IF(INDEX(Klassenliste!$B$6:$B$40,9)&lt;&gt;0,"Unterschrift Erziehungsberechtigte/r:","")</f>
        <v/>
      </c>
      <c r="F152" s="92" t="n"/>
      <c r="G152" s="92" t="n"/>
      <c r="H152" s="92" t="n"/>
      <c r="I152" s="92" t="n"/>
      <c r="O152" s="74" t="n"/>
    </row>
    <row r="153" ht="8" customHeight="1">
      <c r="B153" s="93" t="n"/>
      <c r="C153" s="94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94" t="n"/>
      <c r="N153" s="94" t="n"/>
      <c r="O153" s="95" t="n"/>
    </row>
    <row r="154" ht="27.5" customHeight="1"/>
    <row r="155" ht="27.5" customHeight="1"/>
    <row r="156" ht="6" customHeight="1">
      <c r="B156" s="70" t="n"/>
      <c r="C156" s="71" t="n"/>
      <c r="D156" s="71" t="n"/>
      <c r="E156" s="71" t="n"/>
      <c r="F156" s="71" t="n"/>
      <c r="G156" s="71" t="n"/>
      <c r="H156" s="71" t="n"/>
      <c r="I156" s="71" t="n"/>
      <c r="J156" s="71" t="n"/>
      <c r="K156" s="71" t="n"/>
      <c r="L156" s="71" t="n"/>
      <c r="M156" s="71" t="n"/>
      <c r="N156" s="71" t="n"/>
      <c r="O156" s="72" t="n"/>
    </row>
    <row r="157" ht="20" customHeight="1">
      <c r="B157" s="73">
        <f>IF(INDEX(Klassenliste!$B$6:$B$40,10)&lt;&gt;0,"Klausur "&amp;$C$2&amp;" · "&amp;Klassenliste!$E$2&amp;" · "&amp;Klassenliste!$J$2&amp;IF(RB_Daten!$A$3="",""," · "&amp;RB_Daten!$A$3),"")</f>
        <v/>
      </c>
      <c r="J157" s="12">
        <f>IF(INDEX(Klassenliste!$B$6:$B$40,10)&lt;&gt;0,IF(RB_Daten!$A$2="","Datum: ______","Datum: "&amp;IFERROR(TEXT(RB_Daten!$A$2,"TT.MM.JJJJ"),RB_Daten!$A$2)),"")</f>
        <v/>
      </c>
      <c r="O157" s="74" t="n"/>
    </row>
    <row r="158" ht="20" customHeight="1">
      <c r="B158" s="75">
        <f>IF(INDEX(Klassenliste!$B$6:$B$40,10)&lt;&gt;0,"Name: "&amp;INDEX(Klassenliste!$C$6:$C$40,10)&amp;" "&amp;INDEX(Klassenliste!$B$6:$B$40,10),"")</f>
        <v/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74" t="n"/>
    </row>
    <row r="159" ht="8" customHeight="1">
      <c r="B159" s="76" t="n"/>
      <c r="O159" s="74" t="n"/>
    </row>
    <row r="160" ht="18" customHeight="1">
      <c r="B160" s="77">
        <f>IF(INDEX(Klassenliste!$B$6:$B$40,10)&lt;&gt;0,"Aufgabe","")</f>
        <v/>
      </c>
      <c r="C160" s="78">
        <f>IF(AND(INDEX(Klassenliste!$B$6:$B$40,10)&lt;&gt;0,NOT(OR(RB_Daten!B$3="",RB_Daten!B$3=0))),RB_Daten!B$2,"")</f>
        <v/>
      </c>
      <c r="D160" s="78">
        <f>IF(AND(INDEX(Klassenliste!$B$6:$B$40,10)&lt;&gt;0,NOT(OR(RB_Daten!C$3="",RB_Daten!C$3=0))),RB_Daten!C$2,"")</f>
        <v/>
      </c>
      <c r="E160" s="78">
        <f>IF(AND(INDEX(Klassenliste!$B$6:$B$40,10)&lt;&gt;0,NOT(OR(RB_Daten!D$3="",RB_Daten!D$3=0))),RB_Daten!D$2,"")</f>
        <v/>
      </c>
      <c r="F160" s="78">
        <f>IF(AND(INDEX(Klassenliste!$B$6:$B$40,10)&lt;&gt;0,NOT(OR(RB_Daten!E$3="",RB_Daten!E$3=0))),RB_Daten!E$2,"")</f>
        <v/>
      </c>
      <c r="G160" s="78">
        <f>IF(AND(INDEX(Klassenliste!$B$6:$B$40,10)&lt;&gt;0,NOT(OR(RB_Daten!F$3="",RB_Daten!F$3=0))),RB_Daten!F$2,"")</f>
        <v/>
      </c>
      <c r="H160" s="78">
        <f>IF(AND(INDEX(Klassenliste!$B$6:$B$40,10)&lt;&gt;0,NOT(OR(RB_Daten!G$3="",RB_Daten!G$3=0))),RB_Daten!G$2,"")</f>
        <v/>
      </c>
      <c r="I160" s="78">
        <f>IF(AND(INDEX(Klassenliste!$B$6:$B$40,10)&lt;&gt;0,NOT(OR(RB_Daten!H$3="",RB_Daten!H$3=0))),RB_Daten!H$2,"")</f>
        <v/>
      </c>
      <c r="J160" s="78">
        <f>IF(AND(INDEX(Klassenliste!$B$6:$B$40,10)&lt;&gt;0,NOT(OR(RB_Daten!I$3="",RB_Daten!I$3=0))),RB_Daten!I$2,"")</f>
        <v/>
      </c>
      <c r="K160" s="78">
        <f>IF(AND(INDEX(Klassenliste!$B$6:$B$40,10)&lt;&gt;0,NOT(OR(RB_Daten!J$3="",RB_Daten!J$3=0))),RB_Daten!J$2,"")</f>
        <v/>
      </c>
      <c r="L160" s="78">
        <f>IF(AND(INDEX(Klassenliste!$B$6:$B$40,10)&lt;&gt;0,NOT(OR(RB_Daten!K$3="",RB_Daten!K$3=0))),RB_Daten!K$2,"")</f>
        <v/>
      </c>
      <c r="M160" s="78">
        <f>IF(AND(INDEX(Klassenliste!$B$6:$B$40,10)&lt;&gt;0,NOT(OR(RB_Daten!L$3="",RB_Daten!L$3=0))),RB_Daten!L$2,"")</f>
        <v/>
      </c>
      <c r="N160" s="78">
        <f>IF(AND(INDEX(Klassenliste!$B$6:$B$40,10)&lt;&gt;0,NOT(OR(RB_Daten!M$3="",RB_Daten!M$3=0))),RB_Daten!M$2,"")</f>
        <v/>
      </c>
      <c r="O160" s="79">
        <f>IF(INDEX(Klassenliste!$B$6:$B$40,10)&lt;&gt;0,"Gesamt","")</f>
        <v/>
      </c>
    </row>
    <row r="161" ht="18" customHeight="1">
      <c r="B161" s="80">
        <f>IF(INDEX(Klassenliste!$B$6:$B$40,10)&lt;&gt;0,"max. Punkte","")</f>
        <v/>
      </c>
      <c r="C161" s="81">
        <f>IF(AND(INDEX(Klassenliste!$B$6:$B$40,10)&lt;&gt;0,NOT(OR(RB_Daten!B$3="",RB_Daten!B$3=0))),RB_Daten!B$3,"")</f>
        <v/>
      </c>
      <c r="D161" s="81">
        <f>IF(AND(INDEX(Klassenliste!$B$6:$B$40,10)&lt;&gt;0,NOT(OR(RB_Daten!C$3="",RB_Daten!C$3=0))),RB_Daten!C$3,"")</f>
        <v/>
      </c>
      <c r="E161" s="81">
        <f>IF(AND(INDEX(Klassenliste!$B$6:$B$40,10)&lt;&gt;0,NOT(OR(RB_Daten!D$3="",RB_Daten!D$3=0))),RB_Daten!D$3,"")</f>
        <v/>
      </c>
      <c r="F161" s="81">
        <f>IF(AND(INDEX(Klassenliste!$B$6:$B$40,10)&lt;&gt;0,NOT(OR(RB_Daten!E$3="",RB_Daten!E$3=0))),RB_Daten!E$3,"")</f>
        <v/>
      </c>
      <c r="G161" s="81">
        <f>IF(AND(INDEX(Klassenliste!$B$6:$B$40,10)&lt;&gt;0,NOT(OR(RB_Daten!F$3="",RB_Daten!F$3=0))),RB_Daten!F$3,"")</f>
        <v/>
      </c>
      <c r="H161" s="81">
        <f>IF(AND(INDEX(Klassenliste!$B$6:$B$40,10)&lt;&gt;0,NOT(OR(RB_Daten!G$3="",RB_Daten!G$3=0))),RB_Daten!G$3,"")</f>
        <v/>
      </c>
      <c r="I161" s="81">
        <f>IF(AND(INDEX(Klassenliste!$B$6:$B$40,10)&lt;&gt;0,NOT(OR(RB_Daten!H$3="",RB_Daten!H$3=0))),RB_Daten!H$3,"")</f>
        <v/>
      </c>
      <c r="J161" s="81">
        <f>IF(AND(INDEX(Klassenliste!$B$6:$B$40,10)&lt;&gt;0,NOT(OR(RB_Daten!I$3="",RB_Daten!I$3=0))),RB_Daten!I$3,"")</f>
        <v/>
      </c>
      <c r="K161" s="81">
        <f>IF(AND(INDEX(Klassenliste!$B$6:$B$40,10)&lt;&gt;0,NOT(OR(RB_Daten!J$3="",RB_Daten!J$3=0))),RB_Daten!J$3,"")</f>
        <v/>
      </c>
      <c r="L161" s="81">
        <f>IF(AND(INDEX(Klassenliste!$B$6:$B$40,10)&lt;&gt;0,NOT(OR(RB_Daten!K$3="",RB_Daten!K$3=0))),RB_Daten!K$3,"")</f>
        <v/>
      </c>
      <c r="M161" s="81">
        <f>IF(AND(INDEX(Klassenliste!$B$6:$B$40,10)&lt;&gt;0,NOT(OR(RB_Daten!L$3="",RB_Daten!L$3=0))),RB_Daten!L$3,"")</f>
        <v/>
      </c>
      <c r="N161" s="81">
        <f>IF(AND(INDEX(Klassenliste!$B$6:$B$40,10)&lt;&gt;0,NOT(OR(RB_Daten!M$3="",RB_Daten!M$3=0))),RB_Daten!M$3,"")</f>
        <v/>
      </c>
      <c r="O161" s="82">
        <f>IF(INDEX(Klassenliste!$B$6:$B$40,10)&lt;&gt;0,IF(RB_Daten!$A$4="","",RB_Daten!$A$4),"")</f>
        <v/>
      </c>
    </row>
    <row r="162" ht="18" customHeight="1">
      <c r="B162" s="83">
        <f>IF(INDEX(Klassenliste!$B$6:$B$40,10)&lt;&gt;0,"erreicht","")</f>
        <v/>
      </c>
      <c r="C162" s="84">
        <f>IF(AND(INDEX(Klassenliste!$B$6:$B$40,10)&lt;&gt;0,NOT(OR(RB_Daten!B$3="",RB_Daten!B$3=0))),IF(RB_Daten!B$14="","",RB_Daten!B$14),"")</f>
        <v/>
      </c>
      <c r="D162" s="84">
        <f>IF(AND(INDEX(Klassenliste!$B$6:$B$40,10)&lt;&gt;0,NOT(OR(RB_Daten!C$3="",RB_Daten!C$3=0))),IF(RB_Daten!C$14="","",RB_Daten!C$14),"")</f>
        <v/>
      </c>
      <c r="E162" s="84">
        <f>IF(AND(INDEX(Klassenliste!$B$6:$B$40,10)&lt;&gt;0,NOT(OR(RB_Daten!D$3="",RB_Daten!D$3=0))),IF(RB_Daten!D$14="","",RB_Daten!D$14),"")</f>
        <v/>
      </c>
      <c r="F162" s="84">
        <f>IF(AND(INDEX(Klassenliste!$B$6:$B$40,10)&lt;&gt;0,NOT(OR(RB_Daten!E$3="",RB_Daten!E$3=0))),IF(RB_Daten!E$14="","",RB_Daten!E$14),"")</f>
        <v/>
      </c>
      <c r="G162" s="84">
        <f>IF(AND(INDEX(Klassenliste!$B$6:$B$40,10)&lt;&gt;0,NOT(OR(RB_Daten!F$3="",RB_Daten!F$3=0))),IF(RB_Daten!F$14="","",RB_Daten!F$14),"")</f>
        <v/>
      </c>
      <c r="H162" s="84">
        <f>IF(AND(INDEX(Klassenliste!$B$6:$B$40,10)&lt;&gt;0,NOT(OR(RB_Daten!G$3="",RB_Daten!G$3=0))),IF(RB_Daten!G$14="","",RB_Daten!G$14),"")</f>
        <v/>
      </c>
      <c r="I162" s="84">
        <f>IF(AND(INDEX(Klassenliste!$B$6:$B$40,10)&lt;&gt;0,NOT(OR(RB_Daten!H$3="",RB_Daten!H$3=0))),IF(RB_Daten!H$14="","",RB_Daten!H$14),"")</f>
        <v/>
      </c>
      <c r="J162" s="84">
        <f>IF(AND(INDEX(Klassenliste!$B$6:$B$40,10)&lt;&gt;0,NOT(OR(RB_Daten!I$3="",RB_Daten!I$3=0))),IF(RB_Daten!I$14="","",RB_Daten!I$14),"")</f>
        <v/>
      </c>
      <c r="K162" s="84">
        <f>IF(AND(INDEX(Klassenliste!$B$6:$B$40,10)&lt;&gt;0,NOT(OR(RB_Daten!J$3="",RB_Daten!J$3=0))),IF(RB_Daten!J$14="","",RB_Daten!J$14),"")</f>
        <v/>
      </c>
      <c r="L162" s="84">
        <f>IF(AND(INDEX(Klassenliste!$B$6:$B$40,10)&lt;&gt;0,NOT(OR(RB_Daten!K$3="",RB_Daten!K$3=0))),IF(RB_Daten!K$14="","",RB_Daten!K$14),"")</f>
        <v/>
      </c>
      <c r="M162" s="84">
        <f>IF(AND(INDEX(Klassenliste!$B$6:$B$40,10)&lt;&gt;0,NOT(OR(RB_Daten!L$3="",RB_Daten!L$3=0))),IF(RB_Daten!L$14="","",RB_Daten!L$14),"")</f>
        <v/>
      </c>
      <c r="N162" s="84">
        <f>IF(AND(INDEX(Klassenliste!$B$6:$B$40,10)&lt;&gt;0,NOT(OR(RB_Daten!M$3="",RB_Daten!M$3=0))),IF(RB_Daten!M$14="","",RB_Daten!M$14),"")</f>
        <v/>
      </c>
      <c r="O162" s="85">
        <f>IF(INDEX(Klassenliste!$B$6:$B$40,10)&lt;&gt;0,IF(RB_Daten!$N14="","",RB_Daten!$N14),"")</f>
        <v/>
      </c>
    </row>
    <row r="163" ht="10" customHeight="1">
      <c r="B163" s="76" t="n"/>
      <c r="O163" s="74" t="n"/>
    </row>
    <row r="164" ht="24" customHeight="1">
      <c r="B164" s="73">
        <f>IF(INDEX(Klassenliste!$B$6:$B$40,10)&lt;&gt;0,IF(RB_Daten!$O14="","Ergebnis: –","Ergebnis: "&amp;ROUND(RB_Daten!$O14*100,1)&amp;" %"),"")</f>
        <v/>
      </c>
      <c r="F164" s="86">
        <f>IF(INDEX(Klassenliste!$B$6:$B$40,10)&lt;&gt;0,IF(RB_Daten!$P14="","Punkte: –","Punkte: "&amp;RB_Daten!$P14&amp;"  ("&amp;RB_Daten!$Q14&amp;")"),"")</f>
        <v/>
      </c>
      <c r="O164" s="74" t="n"/>
    </row>
    <row r="165" ht="16" customHeight="1">
      <c r="B165" s="87">
        <f>IF(INDEX(Klassenliste!$B$6:$B$40,10)&lt;&gt;0,"Notenschlüssel:","")</f>
        <v/>
      </c>
      <c r="C165" s="46">
        <f>IF(INDEX(Klassenliste!$B$6:$B$40,10)&lt;&gt;0,"Note 1","")</f>
        <v/>
      </c>
      <c r="D165" s="46">
        <f>IF(INDEX(Klassenliste!$B$6:$B$40,10)&lt;&gt;0,"Note 2","")</f>
        <v/>
      </c>
      <c r="E165" s="46">
        <f>IF(INDEX(Klassenliste!$B$6:$B$40,10)&lt;&gt;0,"Note 3","")</f>
        <v/>
      </c>
      <c r="F165" s="46">
        <f>IF(INDEX(Klassenliste!$B$6:$B$40,10)&lt;&gt;0,"Note 4","")</f>
        <v/>
      </c>
      <c r="G165" s="46">
        <f>IF(INDEX(Klassenliste!$B$6:$B$40,10)&lt;&gt;0,"Note 5","")</f>
        <v/>
      </c>
      <c r="H165" s="46">
        <f>IF(INDEX(Klassenliste!$B$6:$B$40,10)&lt;&gt;0,"Note 6","")</f>
        <v/>
      </c>
      <c r="O165" s="74" t="n"/>
    </row>
    <row r="166" ht="16" customHeight="1">
      <c r="B166" s="87">
        <f>IF(INDEX(Klassenliste!$B$6:$B$40,10)&lt;&gt;0,"ab Punkten:","")</f>
        <v/>
      </c>
      <c r="C166" s="88">
        <f>IF(AND(INDEX(Klassenliste!$B$6:$B$40,10)&lt;&gt;0,RB_Daten!$A$4&lt;&gt;""),CEILING(Notentabelle!$C$17*RB_Daten!$A$4,0.5),"")</f>
        <v/>
      </c>
      <c r="D166" s="88">
        <f>IF(AND(INDEX(Klassenliste!$B$6:$B$40,10)&lt;&gt;0,RB_Daten!$A$4&lt;&gt;""),CEILING(Notentabelle!$C$14*RB_Daten!$A$4,0.5),"")</f>
        <v/>
      </c>
      <c r="E166" s="88">
        <f>IF(AND(INDEX(Klassenliste!$B$6:$B$40,10)&lt;&gt;0,RB_Daten!$A$4&lt;&gt;""),CEILING(Notentabelle!$C$11*RB_Daten!$A$4,0.5),"")</f>
        <v/>
      </c>
      <c r="F166" s="88">
        <f>IF(AND(INDEX(Klassenliste!$B$6:$B$40,10)&lt;&gt;0,RB_Daten!$A$4&lt;&gt;""),CEILING(Notentabelle!$C$8*RB_Daten!$A$4,0.5),"")</f>
        <v/>
      </c>
      <c r="G166" s="88">
        <f>IF(AND(INDEX(Klassenliste!$B$6:$B$40,10)&lt;&gt;0,RB_Daten!$A$4&lt;&gt;""),CEILING(Notentabelle!$C$5*RB_Daten!$A$4,0.5),"")</f>
        <v/>
      </c>
      <c r="H166" s="88">
        <f>IF(AND(INDEX(Klassenliste!$B$6:$B$40,10)&lt;&gt;0,RB_Daten!$A$4&lt;&gt;""),CEILING(0*RB_Daten!$A$4,0.5),"")</f>
        <v/>
      </c>
      <c r="O166" s="74" t="n"/>
    </row>
    <row r="167" ht="14" customHeight="1">
      <c r="B167" s="76" t="n"/>
      <c r="O167" s="74" t="n"/>
    </row>
    <row r="168" ht="110" customHeight="1">
      <c r="B168" s="89">
        <f>IF(INDEX(Klassenliste!$B$6:$B$40,10)&lt;&gt;0,"Lob / Hinweis:","")</f>
        <v/>
      </c>
      <c r="C168" s="90">
        <f>IF(INDEX(Klassenliste!$B$6:$B$40,10)&lt;&gt;0,RB_Daten!$R$14,"")</f>
        <v/>
      </c>
      <c r="D168" s="91" t="n"/>
      <c r="E168" s="91" t="n"/>
      <c r="F168" s="91" t="n"/>
      <c r="G168" s="91" t="n"/>
      <c r="H168" s="91" t="n"/>
      <c r="I168" s="91" t="n"/>
      <c r="J168" s="91" t="n"/>
      <c r="K168" s="91" t="n"/>
      <c r="L168" s="91" t="n"/>
      <c r="M168" s="91" t="n"/>
      <c r="N168" s="91" t="n"/>
      <c r="O168" s="74" t="n"/>
    </row>
    <row r="169" ht="22" customHeight="1">
      <c r="B169" s="87">
        <f>IF(INDEX(Klassenliste!$B$6:$B$40,10)&lt;&gt;0,"Unterschrift Erziehungsberechtigte/r:","")</f>
        <v/>
      </c>
      <c r="F169" s="92" t="n"/>
      <c r="G169" s="92" t="n"/>
      <c r="H169" s="92" t="n"/>
      <c r="I169" s="92" t="n"/>
      <c r="O169" s="74" t="n"/>
    </row>
    <row r="170" ht="8" customHeight="1">
      <c r="B170" s="93" t="n"/>
      <c r="C170" s="94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94" t="n"/>
      <c r="N170" s="94" t="n"/>
      <c r="O170" s="95" t="n"/>
    </row>
    <row r="171" ht="27.5" customHeight="1"/>
    <row r="172" ht="27.5" customHeight="1"/>
    <row r="173" ht="6" customHeight="1">
      <c r="B173" s="70" t="n"/>
      <c r="C173" s="71" t="n"/>
      <c r="D173" s="71" t="n"/>
      <c r="E173" s="71" t="n"/>
      <c r="F173" s="71" t="n"/>
      <c r="G173" s="71" t="n"/>
      <c r="H173" s="71" t="n"/>
      <c r="I173" s="71" t="n"/>
      <c r="J173" s="71" t="n"/>
      <c r="K173" s="71" t="n"/>
      <c r="L173" s="71" t="n"/>
      <c r="M173" s="71" t="n"/>
      <c r="N173" s="71" t="n"/>
      <c r="O173" s="72" t="n"/>
    </row>
    <row r="174" ht="20" customHeight="1">
      <c r="B174" s="73">
        <f>IF(INDEX(Klassenliste!$B$6:$B$40,11)&lt;&gt;0,"Klausur "&amp;$C$2&amp;" · "&amp;Klassenliste!$E$2&amp;" · "&amp;Klassenliste!$J$2&amp;IF(RB_Daten!$A$3="",""," · "&amp;RB_Daten!$A$3),"")</f>
        <v/>
      </c>
      <c r="J174" s="12">
        <f>IF(INDEX(Klassenliste!$B$6:$B$40,11)&lt;&gt;0,IF(RB_Daten!$A$2="","Datum: ______","Datum: "&amp;IFERROR(TEXT(RB_Daten!$A$2,"TT.MM.JJJJ"),RB_Daten!$A$2)),"")</f>
        <v/>
      </c>
      <c r="O174" s="74" t="n"/>
    </row>
    <row r="175" ht="20" customHeight="1">
      <c r="B175" s="75">
        <f>IF(INDEX(Klassenliste!$B$6:$B$40,11)&lt;&gt;0,"Name: "&amp;INDEX(Klassenliste!$C$6:$C$40,11)&amp;" "&amp;INDEX(Klassenliste!$B$6:$B$40,11),"")</f>
        <v/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74" t="n"/>
    </row>
    <row r="176" ht="8" customHeight="1">
      <c r="B176" s="76" t="n"/>
      <c r="O176" s="74" t="n"/>
    </row>
    <row r="177" ht="18" customHeight="1">
      <c r="B177" s="77">
        <f>IF(INDEX(Klassenliste!$B$6:$B$40,11)&lt;&gt;0,"Aufgabe","")</f>
        <v/>
      </c>
      <c r="C177" s="78">
        <f>IF(AND(INDEX(Klassenliste!$B$6:$B$40,11)&lt;&gt;0,NOT(OR(RB_Daten!B$3="",RB_Daten!B$3=0))),RB_Daten!B$2,"")</f>
        <v/>
      </c>
      <c r="D177" s="78">
        <f>IF(AND(INDEX(Klassenliste!$B$6:$B$40,11)&lt;&gt;0,NOT(OR(RB_Daten!C$3="",RB_Daten!C$3=0))),RB_Daten!C$2,"")</f>
        <v/>
      </c>
      <c r="E177" s="78">
        <f>IF(AND(INDEX(Klassenliste!$B$6:$B$40,11)&lt;&gt;0,NOT(OR(RB_Daten!D$3="",RB_Daten!D$3=0))),RB_Daten!D$2,"")</f>
        <v/>
      </c>
      <c r="F177" s="78">
        <f>IF(AND(INDEX(Klassenliste!$B$6:$B$40,11)&lt;&gt;0,NOT(OR(RB_Daten!E$3="",RB_Daten!E$3=0))),RB_Daten!E$2,"")</f>
        <v/>
      </c>
      <c r="G177" s="78">
        <f>IF(AND(INDEX(Klassenliste!$B$6:$B$40,11)&lt;&gt;0,NOT(OR(RB_Daten!F$3="",RB_Daten!F$3=0))),RB_Daten!F$2,"")</f>
        <v/>
      </c>
      <c r="H177" s="78">
        <f>IF(AND(INDEX(Klassenliste!$B$6:$B$40,11)&lt;&gt;0,NOT(OR(RB_Daten!G$3="",RB_Daten!G$3=0))),RB_Daten!G$2,"")</f>
        <v/>
      </c>
      <c r="I177" s="78">
        <f>IF(AND(INDEX(Klassenliste!$B$6:$B$40,11)&lt;&gt;0,NOT(OR(RB_Daten!H$3="",RB_Daten!H$3=0))),RB_Daten!H$2,"")</f>
        <v/>
      </c>
      <c r="J177" s="78">
        <f>IF(AND(INDEX(Klassenliste!$B$6:$B$40,11)&lt;&gt;0,NOT(OR(RB_Daten!I$3="",RB_Daten!I$3=0))),RB_Daten!I$2,"")</f>
        <v/>
      </c>
      <c r="K177" s="78">
        <f>IF(AND(INDEX(Klassenliste!$B$6:$B$40,11)&lt;&gt;0,NOT(OR(RB_Daten!J$3="",RB_Daten!J$3=0))),RB_Daten!J$2,"")</f>
        <v/>
      </c>
      <c r="L177" s="78">
        <f>IF(AND(INDEX(Klassenliste!$B$6:$B$40,11)&lt;&gt;0,NOT(OR(RB_Daten!K$3="",RB_Daten!K$3=0))),RB_Daten!K$2,"")</f>
        <v/>
      </c>
      <c r="M177" s="78">
        <f>IF(AND(INDEX(Klassenliste!$B$6:$B$40,11)&lt;&gt;0,NOT(OR(RB_Daten!L$3="",RB_Daten!L$3=0))),RB_Daten!L$2,"")</f>
        <v/>
      </c>
      <c r="N177" s="78">
        <f>IF(AND(INDEX(Klassenliste!$B$6:$B$40,11)&lt;&gt;0,NOT(OR(RB_Daten!M$3="",RB_Daten!M$3=0))),RB_Daten!M$2,"")</f>
        <v/>
      </c>
      <c r="O177" s="79">
        <f>IF(INDEX(Klassenliste!$B$6:$B$40,11)&lt;&gt;0,"Gesamt","")</f>
        <v/>
      </c>
    </row>
    <row r="178" ht="18" customHeight="1">
      <c r="B178" s="80">
        <f>IF(INDEX(Klassenliste!$B$6:$B$40,11)&lt;&gt;0,"max. Punkte","")</f>
        <v/>
      </c>
      <c r="C178" s="81">
        <f>IF(AND(INDEX(Klassenliste!$B$6:$B$40,11)&lt;&gt;0,NOT(OR(RB_Daten!B$3="",RB_Daten!B$3=0))),RB_Daten!B$3,"")</f>
        <v/>
      </c>
      <c r="D178" s="81">
        <f>IF(AND(INDEX(Klassenliste!$B$6:$B$40,11)&lt;&gt;0,NOT(OR(RB_Daten!C$3="",RB_Daten!C$3=0))),RB_Daten!C$3,"")</f>
        <v/>
      </c>
      <c r="E178" s="81">
        <f>IF(AND(INDEX(Klassenliste!$B$6:$B$40,11)&lt;&gt;0,NOT(OR(RB_Daten!D$3="",RB_Daten!D$3=0))),RB_Daten!D$3,"")</f>
        <v/>
      </c>
      <c r="F178" s="81">
        <f>IF(AND(INDEX(Klassenliste!$B$6:$B$40,11)&lt;&gt;0,NOT(OR(RB_Daten!E$3="",RB_Daten!E$3=0))),RB_Daten!E$3,"")</f>
        <v/>
      </c>
      <c r="G178" s="81">
        <f>IF(AND(INDEX(Klassenliste!$B$6:$B$40,11)&lt;&gt;0,NOT(OR(RB_Daten!F$3="",RB_Daten!F$3=0))),RB_Daten!F$3,"")</f>
        <v/>
      </c>
      <c r="H178" s="81">
        <f>IF(AND(INDEX(Klassenliste!$B$6:$B$40,11)&lt;&gt;0,NOT(OR(RB_Daten!G$3="",RB_Daten!G$3=0))),RB_Daten!G$3,"")</f>
        <v/>
      </c>
      <c r="I178" s="81">
        <f>IF(AND(INDEX(Klassenliste!$B$6:$B$40,11)&lt;&gt;0,NOT(OR(RB_Daten!H$3="",RB_Daten!H$3=0))),RB_Daten!H$3,"")</f>
        <v/>
      </c>
      <c r="J178" s="81">
        <f>IF(AND(INDEX(Klassenliste!$B$6:$B$40,11)&lt;&gt;0,NOT(OR(RB_Daten!I$3="",RB_Daten!I$3=0))),RB_Daten!I$3,"")</f>
        <v/>
      </c>
      <c r="K178" s="81">
        <f>IF(AND(INDEX(Klassenliste!$B$6:$B$40,11)&lt;&gt;0,NOT(OR(RB_Daten!J$3="",RB_Daten!J$3=0))),RB_Daten!J$3,"")</f>
        <v/>
      </c>
      <c r="L178" s="81">
        <f>IF(AND(INDEX(Klassenliste!$B$6:$B$40,11)&lt;&gt;0,NOT(OR(RB_Daten!K$3="",RB_Daten!K$3=0))),RB_Daten!K$3,"")</f>
        <v/>
      </c>
      <c r="M178" s="81">
        <f>IF(AND(INDEX(Klassenliste!$B$6:$B$40,11)&lt;&gt;0,NOT(OR(RB_Daten!L$3="",RB_Daten!L$3=0))),RB_Daten!L$3,"")</f>
        <v/>
      </c>
      <c r="N178" s="81">
        <f>IF(AND(INDEX(Klassenliste!$B$6:$B$40,11)&lt;&gt;0,NOT(OR(RB_Daten!M$3="",RB_Daten!M$3=0))),RB_Daten!M$3,"")</f>
        <v/>
      </c>
      <c r="O178" s="82">
        <f>IF(INDEX(Klassenliste!$B$6:$B$40,11)&lt;&gt;0,IF(RB_Daten!$A$4="","",RB_Daten!$A$4),"")</f>
        <v/>
      </c>
    </row>
    <row r="179" ht="18" customHeight="1">
      <c r="B179" s="83">
        <f>IF(INDEX(Klassenliste!$B$6:$B$40,11)&lt;&gt;0,"erreicht","")</f>
        <v/>
      </c>
      <c r="C179" s="84">
        <f>IF(AND(INDEX(Klassenliste!$B$6:$B$40,11)&lt;&gt;0,NOT(OR(RB_Daten!B$3="",RB_Daten!B$3=0))),IF(RB_Daten!B$15="","",RB_Daten!B$15),"")</f>
        <v/>
      </c>
      <c r="D179" s="84">
        <f>IF(AND(INDEX(Klassenliste!$B$6:$B$40,11)&lt;&gt;0,NOT(OR(RB_Daten!C$3="",RB_Daten!C$3=0))),IF(RB_Daten!C$15="","",RB_Daten!C$15),"")</f>
        <v/>
      </c>
      <c r="E179" s="84">
        <f>IF(AND(INDEX(Klassenliste!$B$6:$B$40,11)&lt;&gt;0,NOT(OR(RB_Daten!D$3="",RB_Daten!D$3=0))),IF(RB_Daten!D$15="","",RB_Daten!D$15),"")</f>
        <v/>
      </c>
      <c r="F179" s="84">
        <f>IF(AND(INDEX(Klassenliste!$B$6:$B$40,11)&lt;&gt;0,NOT(OR(RB_Daten!E$3="",RB_Daten!E$3=0))),IF(RB_Daten!E$15="","",RB_Daten!E$15),"")</f>
        <v/>
      </c>
      <c r="G179" s="84">
        <f>IF(AND(INDEX(Klassenliste!$B$6:$B$40,11)&lt;&gt;0,NOT(OR(RB_Daten!F$3="",RB_Daten!F$3=0))),IF(RB_Daten!F$15="","",RB_Daten!F$15),"")</f>
        <v/>
      </c>
      <c r="H179" s="84">
        <f>IF(AND(INDEX(Klassenliste!$B$6:$B$40,11)&lt;&gt;0,NOT(OR(RB_Daten!G$3="",RB_Daten!G$3=0))),IF(RB_Daten!G$15="","",RB_Daten!G$15),"")</f>
        <v/>
      </c>
      <c r="I179" s="84">
        <f>IF(AND(INDEX(Klassenliste!$B$6:$B$40,11)&lt;&gt;0,NOT(OR(RB_Daten!H$3="",RB_Daten!H$3=0))),IF(RB_Daten!H$15="","",RB_Daten!H$15),"")</f>
        <v/>
      </c>
      <c r="J179" s="84">
        <f>IF(AND(INDEX(Klassenliste!$B$6:$B$40,11)&lt;&gt;0,NOT(OR(RB_Daten!I$3="",RB_Daten!I$3=0))),IF(RB_Daten!I$15="","",RB_Daten!I$15),"")</f>
        <v/>
      </c>
      <c r="K179" s="84">
        <f>IF(AND(INDEX(Klassenliste!$B$6:$B$40,11)&lt;&gt;0,NOT(OR(RB_Daten!J$3="",RB_Daten!J$3=0))),IF(RB_Daten!J$15="","",RB_Daten!J$15),"")</f>
        <v/>
      </c>
      <c r="L179" s="84">
        <f>IF(AND(INDEX(Klassenliste!$B$6:$B$40,11)&lt;&gt;0,NOT(OR(RB_Daten!K$3="",RB_Daten!K$3=0))),IF(RB_Daten!K$15="","",RB_Daten!K$15),"")</f>
        <v/>
      </c>
      <c r="M179" s="84">
        <f>IF(AND(INDEX(Klassenliste!$B$6:$B$40,11)&lt;&gt;0,NOT(OR(RB_Daten!L$3="",RB_Daten!L$3=0))),IF(RB_Daten!L$15="","",RB_Daten!L$15),"")</f>
        <v/>
      </c>
      <c r="N179" s="84">
        <f>IF(AND(INDEX(Klassenliste!$B$6:$B$40,11)&lt;&gt;0,NOT(OR(RB_Daten!M$3="",RB_Daten!M$3=0))),IF(RB_Daten!M$15="","",RB_Daten!M$15),"")</f>
        <v/>
      </c>
      <c r="O179" s="85">
        <f>IF(INDEX(Klassenliste!$B$6:$B$40,11)&lt;&gt;0,IF(RB_Daten!$N15="","",RB_Daten!$N15),"")</f>
        <v/>
      </c>
    </row>
    <row r="180" ht="10" customHeight="1">
      <c r="B180" s="76" t="n"/>
      <c r="O180" s="74" t="n"/>
    </row>
    <row r="181" ht="24" customHeight="1">
      <c r="B181" s="73">
        <f>IF(INDEX(Klassenliste!$B$6:$B$40,11)&lt;&gt;0,IF(RB_Daten!$O15="","Ergebnis: –","Ergebnis: "&amp;ROUND(RB_Daten!$O15*100,1)&amp;" %"),"")</f>
        <v/>
      </c>
      <c r="F181" s="86">
        <f>IF(INDEX(Klassenliste!$B$6:$B$40,11)&lt;&gt;0,IF(RB_Daten!$P15="","Punkte: –","Punkte: "&amp;RB_Daten!$P15&amp;"  ("&amp;RB_Daten!$Q15&amp;")"),"")</f>
        <v/>
      </c>
      <c r="O181" s="74" t="n"/>
    </row>
    <row r="182" ht="16" customHeight="1">
      <c r="B182" s="87">
        <f>IF(INDEX(Klassenliste!$B$6:$B$40,11)&lt;&gt;0,"Notenschlüssel:","")</f>
        <v/>
      </c>
      <c r="C182" s="46">
        <f>IF(INDEX(Klassenliste!$B$6:$B$40,11)&lt;&gt;0,"Note 1","")</f>
        <v/>
      </c>
      <c r="D182" s="46">
        <f>IF(INDEX(Klassenliste!$B$6:$B$40,11)&lt;&gt;0,"Note 2","")</f>
        <v/>
      </c>
      <c r="E182" s="46">
        <f>IF(INDEX(Klassenliste!$B$6:$B$40,11)&lt;&gt;0,"Note 3","")</f>
        <v/>
      </c>
      <c r="F182" s="46">
        <f>IF(INDEX(Klassenliste!$B$6:$B$40,11)&lt;&gt;0,"Note 4","")</f>
        <v/>
      </c>
      <c r="G182" s="46">
        <f>IF(INDEX(Klassenliste!$B$6:$B$40,11)&lt;&gt;0,"Note 5","")</f>
        <v/>
      </c>
      <c r="H182" s="46">
        <f>IF(INDEX(Klassenliste!$B$6:$B$40,11)&lt;&gt;0,"Note 6","")</f>
        <v/>
      </c>
      <c r="O182" s="74" t="n"/>
    </row>
    <row r="183" ht="16" customHeight="1">
      <c r="B183" s="87">
        <f>IF(INDEX(Klassenliste!$B$6:$B$40,11)&lt;&gt;0,"ab Punkten:","")</f>
        <v/>
      </c>
      <c r="C183" s="88">
        <f>IF(AND(INDEX(Klassenliste!$B$6:$B$40,11)&lt;&gt;0,RB_Daten!$A$4&lt;&gt;""),CEILING(Notentabelle!$C$17*RB_Daten!$A$4,0.5),"")</f>
        <v/>
      </c>
      <c r="D183" s="88">
        <f>IF(AND(INDEX(Klassenliste!$B$6:$B$40,11)&lt;&gt;0,RB_Daten!$A$4&lt;&gt;""),CEILING(Notentabelle!$C$14*RB_Daten!$A$4,0.5),"")</f>
        <v/>
      </c>
      <c r="E183" s="88">
        <f>IF(AND(INDEX(Klassenliste!$B$6:$B$40,11)&lt;&gt;0,RB_Daten!$A$4&lt;&gt;""),CEILING(Notentabelle!$C$11*RB_Daten!$A$4,0.5),"")</f>
        <v/>
      </c>
      <c r="F183" s="88">
        <f>IF(AND(INDEX(Klassenliste!$B$6:$B$40,11)&lt;&gt;0,RB_Daten!$A$4&lt;&gt;""),CEILING(Notentabelle!$C$8*RB_Daten!$A$4,0.5),"")</f>
        <v/>
      </c>
      <c r="G183" s="88">
        <f>IF(AND(INDEX(Klassenliste!$B$6:$B$40,11)&lt;&gt;0,RB_Daten!$A$4&lt;&gt;""),CEILING(Notentabelle!$C$5*RB_Daten!$A$4,0.5),"")</f>
        <v/>
      </c>
      <c r="H183" s="88">
        <f>IF(AND(INDEX(Klassenliste!$B$6:$B$40,11)&lt;&gt;0,RB_Daten!$A$4&lt;&gt;""),CEILING(0*RB_Daten!$A$4,0.5),"")</f>
        <v/>
      </c>
      <c r="O183" s="74" t="n"/>
    </row>
    <row r="184" ht="14" customHeight="1">
      <c r="B184" s="76" t="n"/>
      <c r="O184" s="74" t="n"/>
    </row>
    <row r="185" ht="110" customHeight="1">
      <c r="B185" s="89">
        <f>IF(INDEX(Klassenliste!$B$6:$B$40,11)&lt;&gt;0,"Lob / Hinweis:","")</f>
        <v/>
      </c>
      <c r="C185" s="90">
        <f>IF(INDEX(Klassenliste!$B$6:$B$40,11)&lt;&gt;0,RB_Daten!$R$15,"")</f>
        <v/>
      </c>
      <c r="D185" s="91" t="n"/>
      <c r="E185" s="91" t="n"/>
      <c r="F185" s="91" t="n"/>
      <c r="G185" s="91" t="n"/>
      <c r="H185" s="91" t="n"/>
      <c r="I185" s="91" t="n"/>
      <c r="J185" s="91" t="n"/>
      <c r="K185" s="91" t="n"/>
      <c r="L185" s="91" t="n"/>
      <c r="M185" s="91" t="n"/>
      <c r="N185" s="91" t="n"/>
      <c r="O185" s="74" t="n"/>
    </row>
    <row r="186" ht="22" customHeight="1">
      <c r="B186" s="87">
        <f>IF(INDEX(Klassenliste!$B$6:$B$40,11)&lt;&gt;0,"Unterschrift Erziehungsberechtigte/r:","")</f>
        <v/>
      </c>
      <c r="F186" s="92" t="n"/>
      <c r="G186" s="92" t="n"/>
      <c r="H186" s="92" t="n"/>
      <c r="I186" s="92" t="n"/>
      <c r="O186" s="74" t="n"/>
    </row>
    <row r="187" ht="8" customHeight="1">
      <c r="B187" s="93" t="n"/>
      <c r="C187" s="94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94" t="n"/>
      <c r="N187" s="94" t="n"/>
      <c r="O187" s="95" t="n"/>
    </row>
    <row r="188" ht="27.5" customHeight="1"/>
    <row r="189" ht="27.5" customHeight="1"/>
    <row r="190" ht="6" customHeight="1">
      <c r="B190" s="70" t="n"/>
      <c r="C190" s="71" t="n"/>
      <c r="D190" s="71" t="n"/>
      <c r="E190" s="71" t="n"/>
      <c r="F190" s="71" t="n"/>
      <c r="G190" s="71" t="n"/>
      <c r="H190" s="71" t="n"/>
      <c r="I190" s="71" t="n"/>
      <c r="J190" s="71" t="n"/>
      <c r="K190" s="71" t="n"/>
      <c r="L190" s="71" t="n"/>
      <c r="M190" s="71" t="n"/>
      <c r="N190" s="71" t="n"/>
      <c r="O190" s="72" t="n"/>
    </row>
    <row r="191" ht="20" customHeight="1">
      <c r="B191" s="73">
        <f>IF(INDEX(Klassenliste!$B$6:$B$40,12)&lt;&gt;0,"Klausur "&amp;$C$2&amp;" · "&amp;Klassenliste!$E$2&amp;" · "&amp;Klassenliste!$J$2&amp;IF(RB_Daten!$A$3="",""," · "&amp;RB_Daten!$A$3),"")</f>
        <v/>
      </c>
      <c r="J191" s="12">
        <f>IF(INDEX(Klassenliste!$B$6:$B$40,12)&lt;&gt;0,IF(RB_Daten!$A$2="","Datum: ______","Datum: "&amp;IFERROR(TEXT(RB_Daten!$A$2,"TT.MM.JJJJ"),RB_Daten!$A$2)),"")</f>
        <v/>
      </c>
      <c r="O191" s="74" t="n"/>
    </row>
    <row r="192" ht="20" customHeight="1">
      <c r="B192" s="75">
        <f>IF(INDEX(Klassenliste!$B$6:$B$40,12)&lt;&gt;0,"Name: "&amp;INDEX(Klassenliste!$C$6:$C$40,12)&amp;" "&amp;INDEX(Klassenliste!$B$6:$B$40,12),"")</f>
        <v/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74" t="n"/>
    </row>
    <row r="193" ht="8" customHeight="1">
      <c r="B193" s="76" t="n"/>
      <c r="O193" s="74" t="n"/>
    </row>
    <row r="194" ht="18" customHeight="1">
      <c r="B194" s="77">
        <f>IF(INDEX(Klassenliste!$B$6:$B$40,12)&lt;&gt;0,"Aufgabe","")</f>
        <v/>
      </c>
      <c r="C194" s="78">
        <f>IF(AND(INDEX(Klassenliste!$B$6:$B$40,12)&lt;&gt;0,NOT(OR(RB_Daten!B$3="",RB_Daten!B$3=0))),RB_Daten!B$2,"")</f>
        <v/>
      </c>
      <c r="D194" s="78">
        <f>IF(AND(INDEX(Klassenliste!$B$6:$B$40,12)&lt;&gt;0,NOT(OR(RB_Daten!C$3="",RB_Daten!C$3=0))),RB_Daten!C$2,"")</f>
        <v/>
      </c>
      <c r="E194" s="78">
        <f>IF(AND(INDEX(Klassenliste!$B$6:$B$40,12)&lt;&gt;0,NOT(OR(RB_Daten!D$3="",RB_Daten!D$3=0))),RB_Daten!D$2,"")</f>
        <v/>
      </c>
      <c r="F194" s="78">
        <f>IF(AND(INDEX(Klassenliste!$B$6:$B$40,12)&lt;&gt;0,NOT(OR(RB_Daten!E$3="",RB_Daten!E$3=0))),RB_Daten!E$2,"")</f>
        <v/>
      </c>
      <c r="G194" s="78">
        <f>IF(AND(INDEX(Klassenliste!$B$6:$B$40,12)&lt;&gt;0,NOT(OR(RB_Daten!F$3="",RB_Daten!F$3=0))),RB_Daten!F$2,"")</f>
        <v/>
      </c>
      <c r="H194" s="78">
        <f>IF(AND(INDEX(Klassenliste!$B$6:$B$40,12)&lt;&gt;0,NOT(OR(RB_Daten!G$3="",RB_Daten!G$3=0))),RB_Daten!G$2,"")</f>
        <v/>
      </c>
      <c r="I194" s="78">
        <f>IF(AND(INDEX(Klassenliste!$B$6:$B$40,12)&lt;&gt;0,NOT(OR(RB_Daten!H$3="",RB_Daten!H$3=0))),RB_Daten!H$2,"")</f>
        <v/>
      </c>
      <c r="J194" s="78">
        <f>IF(AND(INDEX(Klassenliste!$B$6:$B$40,12)&lt;&gt;0,NOT(OR(RB_Daten!I$3="",RB_Daten!I$3=0))),RB_Daten!I$2,"")</f>
        <v/>
      </c>
      <c r="K194" s="78">
        <f>IF(AND(INDEX(Klassenliste!$B$6:$B$40,12)&lt;&gt;0,NOT(OR(RB_Daten!J$3="",RB_Daten!J$3=0))),RB_Daten!J$2,"")</f>
        <v/>
      </c>
      <c r="L194" s="78">
        <f>IF(AND(INDEX(Klassenliste!$B$6:$B$40,12)&lt;&gt;0,NOT(OR(RB_Daten!K$3="",RB_Daten!K$3=0))),RB_Daten!K$2,"")</f>
        <v/>
      </c>
      <c r="M194" s="78">
        <f>IF(AND(INDEX(Klassenliste!$B$6:$B$40,12)&lt;&gt;0,NOT(OR(RB_Daten!L$3="",RB_Daten!L$3=0))),RB_Daten!L$2,"")</f>
        <v/>
      </c>
      <c r="N194" s="78">
        <f>IF(AND(INDEX(Klassenliste!$B$6:$B$40,12)&lt;&gt;0,NOT(OR(RB_Daten!M$3="",RB_Daten!M$3=0))),RB_Daten!M$2,"")</f>
        <v/>
      </c>
      <c r="O194" s="79">
        <f>IF(INDEX(Klassenliste!$B$6:$B$40,12)&lt;&gt;0,"Gesamt","")</f>
        <v/>
      </c>
    </row>
    <row r="195" ht="18" customHeight="1">
      <c r="B195" s="80">
        <f>IF(INDEX(Klassenliste!$B$6:$B$40,12)&lt;&gt;0,"max. Punkte","")</f>
        <v/>
      </c>
      <c r="C195" s="81">
        <f>IF(AND(INDEX(Klassenliste!$B$6:$B$40,12)&lt;&gt;0,NOT(OR(RB_Daten!B$3="",RB_Daten!B$3=0))),RB_Daten!B$3,"")</f>
        <v/>
      </c>
      <c r="D195" s="81">
        <f>IF(AND(INDEX(Klassenliste!$B$6:$B$40,12)&lt;&gt;0,NOT(OR(RB_Daten!C$3="",RB_Daten!C$3=0))),RB_Daten!C$3,"")</f>
        <v/>
      </c>
      <c r="E195" s="81">
        <f>IF(AND(INDEX(Klassenliste!$B$6:$B$40,12)&lt;&gt;0,NOT(OR(RB_Daten!D$3="",RB_Daten!D$3=0))),RB_Daten!D$3,"")</f>
        <v/>
      </c>
      <c r="F195" s="81">
        <f>IF(AND(INDEX(Klassenliste!$B$6:$B$40,12)&lt;&gt;0,NOT(OR(RB_Daten!E$3="",RB_Daten!E$3=0))),RB_Daten!E$3,"")</f>
        <v/>
      </c>
      <c r="G195" s="81">
        <f>IF(AND(INDEX(Klassenliste!$B$6:$B$40,12)&lt;&gt;0,NOT(OR(RB_Daten!F$3="",RB_Daten!F$3=0))),RB_Daten!F$3,"")</f>
        <v/>
      </c>
      <c r="H195" s="81">
        <f>IF(AND(INDEX(Klassenliste!$B$6:$B$40,12)&lt;&gt;0,NOT(OR(RB_Daten!G$3="",RB_Daten!G$3=0))),RB_Daten!G$3,"")</f>
        <v/>
      </c>
      <c r="I195" s="81">
        <f>IF(AND(INDEX(Klassenliste!$B$6:$B$40,12)&lt;&gt;0,NOT(OR(RB_Daten!H$3="",RB_Daten!H$3=0))),RB_Daten!H$3,"")</f>
        <v/>
      </c>
      <c r="J195" s="81">
        <f>IF(AND(INDEX(Klassenliste!$B$6:$B$40,12)&lt;&gt;0,NOT(OR(RB_Daten!I$3="",RB_Daten!I$3=0))),RB_Daten!I$3,"")</f>
        <v/>
      </c>
      <c r="K195" s="81">
        <f>IF(AND(INDEX(Klassenliste!$B$6:$B$40,12)&lt;&gt;0,NOT(OR(RB_Daten!J$3="",RB_Daten!J$3=0))),RB_Daten!J$3,"")</f>
        <v/>
      </c>
      <c r="L195" s="81">
        <f>IF(AND(INDEX(Klassenliste!$B$6:$B$40,12)&lt;&gt;0,NOT(OR(RB_Daten!K$3="",RB_Daten!K$3=0))),RB_Daten!K$3,"")</f>
        <v/>
      </c>
      <c r="M195" s="81">
        <f>IF(AND(INDEX(Klassenliste!$B$6:$B$40,12)&lt;&gt;0,NOT(OR(RB_Daten!L$3="",RB_Daten!L$3=0))),RB_Daten!L$3,"")</f>
        <v/>
      </c>
      <c r="N195" s="81">
        <f>IF(AND(INDEX(Klassenliste!$B$6:$B$40,12)&lt;&gt;0,NOT(OR(RB_Daten!M$3="",RB_Daten!M$3=0))),RB_Daten!M$3,"")</f>
        <v/>
      </c>
      <c r="O195" s="82">
        <f>IF(INDEX(Klassenliste!$B$6:$B$40,12)&lt;&gt;0,IF(RB_Daten!$A$4="","",RB_Daten!$A$4),"")</f>
        <v/>
      </c>
    </row>
    <row r="196" ht="18" customHeight="1">
      <c r="B196" s="83">
        <f>IF(INDEX(Klassenliste!$B$6:$B$40,12)&lt;&gt;0,"erreicht","")</f>
        <v/>
      </c>
      <c r="C196" s="84">
        <f>IF(AND(INDEX(Klassenliste!$B$6:$B$40,12)&lt;&gt;0,NOT(OR(RB_Daten!B$3="",RB_Daten!B$3=0))),IF(RB_Daten!B$16="","",RB_Daten!B$16),"")</f>
        <v/>
      </c>
      <c r="D196" s="84">
        <f>IF(AND(INDEX(Klassenliste!$B$6:$B$40,12)&lt;&gt;0,NOT(OR(RB_Daten!C$3="",RB_Daten!C$3=0))),IF(RB_Daten!C$16="","",RB_Daten!C$16),"")</f>
        <v/>
      </c>
      <c r="E196" s="84">
        <f>IF(AND(INDEX(Klassenliste!$B$6:$B$40,12)&lt;&gt;0,NOT(OR(RB_Daten!D$3="",RB_Daten!D$3=0))),IF(RB_Daten!D$16="","",RB_Daten!D$16),"")</f>
        <v/>
      </c>
      <c r="F196" s="84">
        <f>IF(AND(INDEX(Klassenliste!$B$6:$B$40,12)&lt;&gt;0,NOT(OR(RB_Daten!E$3="",RB_Daten!E$3=0))),IF(RB_Daten!E$16="","",RB_Daten!E$16),"")</f>
        <v/>
      </c>
      <c r="G196" s="84">
        <f>IF(AND(INDEX(Klassenliste!$B$6:$B$40,12)&lt;&gt;0,NOT(OR(RB_Daten!F$3="",RB_Daten!F$3=0))),IF(RB_Daten!F$16="","",RB_Daten!F$16),"")</f>
        <v/>
      </c>
      <c r="H196" s="84">
        <f>IF(AND(INDEX(Klassenliste!$B$6:$B$40,12)&lt;&gt;0,NOT(OR(RB_Daten!G$3="",RB_Daten!G$3=0))),IF(RB_Daten!G$16="","",RB_Daten!G$16),"")</f>
        <v/>
      </c>
      <c r="I196" s="84">
        <f>IF(AND(INDEX(Klassenliste!$B$6:$B$40,12)&lt;&gt;0,NOT(OR(RB_Daten!H$3="",RB_Daten!H$3=0))),IF(RB_Daten!H$16="","",RB_Daten!H$16),"")</f>
        <v/>
      </c>
      <c r="J196" s="84">
        <f>IF(AND(INDEX(Klassenliste!$B$6:$B$40,12)&lt;&gt;0,NOT(OR(RB_Daten!I$3="",RB_Daten!I$3=0))),IF(RB_Daten!I$16="","",RB_Daten!I$16),"")</f>
        <v/>
      </c>
      <c r="K196" s="84">
        <f>IF(AND(INDEX(Klassenliste!$B$6:$B$40,12)&lt;&gt;0,NOT(OR(RB_Daten!J$3="",RB_Daten!J$3=0))),IF(RB_Daten!J$16="","",RB_Daten!J$16),"")</f>
        <v/>
      </c>
      <c r="L196" s="84">
        <f>IF(AND(INDEX(Klassenliste!$B$6:$B$40,12)&lt;&gt;0,NOT(OR(RB_Daten!K$3="",RB_Daten!K$3=0))),IF(RB_Daten!K$16="","",RB_Daten!K$16),"")</f>
        <v/>
      </c>
      <c r="M196" s="84">
        <f>IF(AND(INDEX(Klassenliste!$B$6:$B$40,12)&lt;&gt;0,NOT(OR(RB_Daten!L$3="",RB_Daten!L$3=0))),IF(RB_Daten!L$16="","",RB_Daten!L$16),"")</f>
        <v/>
      </c>
      <c r="N196" s="84">
        <f>IF(AND(INDEX(Klassenliste!$B$6:$B$40,12)&lt;&gt;0,NOT(OR(RB_Daten!M$3="",RB_Daten!M$3=0))),IF(RB_Daten!M$16="","",RB_Daten!M$16),"")</f>
        <v/>
      </c>
      <c r="O196" s="85">
        <f>IF(INDEX(Klassenliste!$B$6:$B$40,12)&lt;&gt;0,IF(RB_Daten!$N16="","",RB_Daten!$N16),"")</f>
        <v/>
      </c>
    </row>
    <row r="197" ht="10" customHeight="1">
      <c r="B197" s="76" t="n"/>
      <c r="O197" s="74" t="n"/>
    </row>
    <row r="198" ht="24" customHeight="1">
      <c r="B198" s="73">
        <f>IF(INDEX(Klassenliste!$B$6:$B$40,12)&lt;&gt;0,IF(RB_Daten!$O16="","Ergebnis: –","Ergebnis: "&amp;ROUND(RB_Daten!$O16*100,1)&amp;" %"),"")</f>
        <v/>
      </c>
      <c r="F198" s="86">
        <f>IF(INDEX(Klassenliste!$B$6:$B$40,12)&lt;&gt;0,IF(RB_Daten!$P16="","Punkte: –","Punkte: "&amp;RB_Daten!$P16&amp;"  ("&amp;RB_Daten!$Q16&amp;")"),"")</f>
        <v/>
      </c>
      <c r="O198" s="74" t="n"/>
    </row>
    <row r="199" ht="16" customHeight="1">
      <c r="B199" s="87">
        <f>IF(INDEX(Klassenliste!$B$6:$B$40,12)&lt;&gt;0,"Notenschlüssel:","")</f>
        <v/>
      </c>
      <c r="C199" s="46">
        <f>IF(INDEX(Klassenliste!$B$6:$B$40,12)&lt;&gt;0,"Note 1","")</f>
        <v/>
      </c>
      <c r="D199" s="46">
        <f>IF(INDEX(Klassenliste!$B$6:$B$40,12)&lt;&gt;0,"Note 2","")</f>
        <v/>
      </c>
      <c r="E199" s="46">
        <f>IF(INDEX(Klassenliste!$B$6:$B$40,12)&lt;&gt;0,"Note 3","")</f>
        <v/>
      </c>
      <c r="F199" s="46">
        <f>IF(INDEX(Klassenliste!$B$6:$B$40,12)&lt;&gt;0,"Note 4","")</f>
        <v/>
      </c>
      <c r="G199" s="46">
        <f>IF(INDEX(Klassenliste!$B$6:$B$40,12)&lt;&gt;0,"Note 5","")</f>
        <v/>
      </c>
      <c r="H199" s="46">
        <f>IF(INDEX(Klassenliste!$B$6:$B$40,12)&lt;&gt;0,"Note 6","")</f>
        <v/>
      </c>
      <c r="O199" s="74" t="n"/>
    </row>
    <row r="200" ht="16" customHeight="1">
      <c r="B200" s="87">
        <f>IF(INDEX(Klassenliste!$B$6:$B$40,12)&lt;&gt;0,"ab Punkten:","")</f>
        <v/>
      </c>
      <c r="C200" s="88">
        <f>IF(AND(INDEX(Klassenliste!$B$6:$B$40,12)&lt;&gt;0,RB_Daten!$A$4&lt;&gt;""),CEILING(Notentabelle!$C$17*RB_Daten!$A$4,0.5),"")</f>
        <v/>
      </c>
      <c r="D200" s="88">
        <f>IF(AND(INDEX(Klassenliste!$B$6:$B$40,12)&lt;&gt;0,RB_Daten!$A$4&lt;&gt;""),CEILING(Notentabelle!$C$14*RB_Daten!$A$4,0.5),"")</f>
        <v/>
      </c>
      <c r="E200" s="88">
        <f>IF(AND(INDEX(Klassenliste!$B$6:$B$40,12)&lt;&gt;0,RB_Daten!$A$4&lt;&gt;""),CEILING(Notentabelle!$C$11*RB_Daten!$A$4,0.5),"")</f>
        <v/>
      </c>
      <c r="F200" s="88">
        <f>IF(AND(INDEX(Klassenliste!$B$6:$B$40,12)&lt;&gt;0,RB_Daten!$A$4&lt;&gt;""),CEILING(Notentabelle!$C$8*RB_Daten!$A$4,0.5),"")</f>
        <v/>
      </c>
      <c r="G200" s="88">
        <f>IF(AND(INDEX(Klassenliste!$B$6:$B$40,12)&lt;&gt;0,RB_Daten!$A$4&lt;&gt;""),CEILING(Notentabelle!$C$5*RB_Daten!$A$4,0.5),"")</f>
        <v/>
      </c>
      <c r="H200" s="88">
        <f>IF(AND(INDEX(Klassenliste!$B$6:$B$40,12)&lt;&gt;0,RB_Daten!$A$4&lt;&gt;""),CEILING(0*RB_Daten!$A$4,0.5),"")</f>
        <v/>
      </c>
      <c r="O200" s="74" t="n"/>
    </row>
    <row r="201" ht="14" customHeight="1">
      <c r="B201" s="76" t="n"/>
      <c r="O201" s="74" t="n"/>
    </row>
    <row r="202" ht="110" customHeight="1">
      <c r="B202" s="89">
        <f>IF(INDEX(Klassenliste!$B$6:$B$40,12)&lt;&gt;0,"Lob / Hinweis:","")</f>
        <v/>
      </c>
      <c r="C202" s="90">
        <f>IF(INDEX(Klassenliste!$B$6:$B$40,12)&lt;&gt;0,RB_Daten!$R$16,"")</f>
        <v/>
      </c>
      <c r="D202" s="91" t="n"/>
      <c r="E202" s="91" t="n"/>
      <c r="F202" s="91" t="n"/>
      <c r="G202" s="91" t="n"/>
      <c r="H202" s="91" t="n"/>
      <c r="I202" s="91" t="n"/>
      <c r="J202" s="91" t="n"/>
      <c r="K202" s="91" t="n"/>
      <c r="L202" s="91" t="n"/>
      <c r="M202" s="91" t="n"/>
      <c r="N202" s="91" t="n"/>
      <c r="O202" s="74" t="n"/>
    </row>
    <row r="203" ht="22" customHeight="1">
      <c r="B203" s="87">
        <f>IF(INDEX(Klassenliste!$B$6:$B$40,12)&lt;&gt;0,"Unterschrift Erziehungsberechtigte/r:","")</f>
        <v/>
      </c>
      <c r="F203" s="92" t="n"/>
      <c r="G203" s="92" t="n"/>
      <c r="H203" s="92" t="n"/>
      <c r="I203" s="92" t="n"/>
      <c r="O203" s="74" t="n"/>
    </row>
    <row r="204" ht="8" customHeight="1">
      <c r="B204" s="93" t="n"/>
      <c r="C204" s="94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94" t="n"/>
      <c r="N204" s="94" t="n"/>
      <c r="O204" s="95" t="n"/>
    </row>
    <row r="205" ht="27.5" customHeight="1"/>
    <row r="206" ht="27.5" customHeight="1"/>
    <row r="207" ht="6" customHeight="1">
      <c r="B207" s="70" t="n"/>
      <c r="C207" s="71" t="n"/>
      <c r="D207" s="71" t="n"/>
      <c r="E207" s="71" t="n"/>
      <c r="F207" s="71" t="n"/>
      <c r="G207" s="71" t="n"/>
      <c r="H207" s="71" t="n"/>
      <c r="I207" s="71" t="n"/>
      <c r="J207" s="71" t="n"/>
      <c r="K207" s="71" t="n"/>
      <c r="L207" s="71" t="n"/>
      <c r="M207" s="71" t="n"/>
      <c r="N207" s="71" t="n"/>
      <c r="O207" s="72" t="n"/>
    </row>
    <row r="208" ht="20" customHeight="1">
      <c r="B208" s="73">
        <f>IF(INDEX(Klassenliste!$B$6:$B$40,13)&lt;&gt;0,"Klausur "&amp;$C$2&amp;" · "&amp;Klassenliste!$E$2&amp;" · "&amp;Klassenliste!$J$2&amp;IF(RB_Daten!$A$3="",""," · "&amp;RB_Daten!$A$3),"")</f>
        <v/>
      </c>
      <c r="J208" s="12">
        <f>IF(INDEX(Klassenliste!$B$6:$B$40,13)&lt;&gt;0,IF(RB_Daten!$A$2="","Datum: ______","Datum: "&amp;IFERROR(TEXT(RB_Daten!$A$2,"TT.MM.JJJJ"),RB_Daten!$A$2)),"")</f>
        <v/>
      </c>
      <c r="O208" s="74" t="n"/>
    </row>
    <row r="209" ht="20" customHeight="1">
      <c r="B209" s="75">
        <f>IF(INDEX(Klassenliste!$B$6:$B$40,13)&lt;&gt;0,"Name: "&amp;INDEX(Klassenliste!$C$6:$C$40,13)&amp;" "&amp;INDEX(Klassenliste!$B$6:$B$40,13),"")</f>
        <v/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74" t="n"/>
    </row>
    <row r="210" ht="8" customHeight="1">
      <c r="B210" s="76" t="n"/>
      <c r="O210" s="74" t="n"/>
    </row>
    <row r="211" ht="18" customHeight="1">
      <c r="B211" s="77">
        <f>IF(INDEX(Klassenliste!$B$6:$B$40,13)&lt;&gt;0,"Aufgabe","")</f>
        <v/>
      </c>
      <c r="C211" s="78">
        <f>IF(AND(INDEX(Klassenliste!$B$6:$B$40,13)&lt;&gt;0,NOT(OR(RB_Daten!B$3="",RB_Daten!B$3=0))),RB_Daten!B$2,"")</f>
        <v/>
      </c>
      <c r="D211" s="78">
        <f>IF(AND(INDEX(Klassenliste!$B$6:$B$40,13)&lt;&gt;0,NOT(OR(RB_Daten!C$3="",RB_Daten!C$3=0))),RB_Daten!C$2,"")</f>
        <v/>
      </c>
      <c r="E211" s="78">
        <f>IF(AND(INDEX(Klassenliste!$B$6:$B$40,13)&lt;&gt;0,NOT(OR(RB_Daten!D$3="",RB_Daten!D$3=0))),RB_Daten!D$2,"")</f>
        <v/>
      </c>
      <c r="F211" s="78">
        <f>IF(AND(INDEX(Klassenliste!$B$6:$B$40,13)&lt;&gt;0,NOT(OR(RB_Daten!E$3="",RB_Daten!E$3=0))),RB_Daten!E$2,"")</f>
        <v/>
      </c>
      <c r="G211" s="78">
        <f>IF(AND(INDEX(Klassenliste!$B$6:$B$40,13)&lt;&gt;0,NOT(OR(RB_Daten!F$3="",RB_Daten!F$3=0))),RB_Daten!F$2,"")</f>
        <v/>
      </c>
      <c r="H211" s="78">
        <f>IF(AND(INDEX(Klassenliste!$B$6:$B$40,13)&lt;&gt;0,NOT(OR(RB_Daten!G$3="",RB_Daten!G$3=0))),RB_Daten!G$2,"")</f>
        <v/>
      </c>
      <c r="I211" s="78">
        <f>IF(AND(INDEX(Klassenliste!$B$6:$B$40,13)&lt;&gt;0,NOT(OR(RB_Daten!H$3="",RB_Daten!H$3=0))),RB_Daten!H$2,"")</f>
        <v/>
      </c>
      <c r="J211" s="78">
        <f>IF(AND(INDEX(Klassenliste!$B$6:$B$40,13)&lt;&gt;0,NOT(OR(RB_Daten!I$3="",RB_Daten!I$3=0))),RB_Daten!I$2,"")</f>
        <v/>
      </c>
      <c r="K211" s="78">
        <f>IF(AND(INDEX(Klassenliste!$B$6:$B$40,13)&lt;&gt;0,NOT(OR(RB_Daten!J$3="",RB_Daten!J$3=0))),RB_Daten!J$2,"")</f>
        <v/>
      </c>
      <c r="L211" s="78">
        <f>IF(AND(INDEX(Klassenliste!$B$6:$B$40,13)&lt;&gt;0,NOT(OR(RB_Daten!K$3="",RB_Daten!K$3=0))),RB_Daten!K$2,"")</f>
        <v/>
      </c>
      <c r="M211" s="78">
        <f>IF(AND(INDEX(Klassenliste!$B$6:$B$40,13)&lt;&gt;0,NOT(OR(RB_Daten!L$3="",RB_Daten!L$3=0))),RB_Daten!L$2,"")</f>
        <v/>
      </c>
      <c r="N211" s="78">
        <f>IF(AND(INDEX(Klassenliste!$B$6:$B$40,13)&lt;&gt;0,NOT(OR(RB_Daten!M$3="",RB_Daten!M$3=0))),RB_Daten!M$2,"")</f>
        <v/>
      </c>
      <c r="O211" s="79">
        <f>IF(INDEX(Klassenliste!$B$6:$B$40,13)&lt;&gt;0,"Gesamt","")</f>
        <v/>
      </c>
    </row>
    <row r="212" ht="18" customHeight="1">
      <c r="B212" s="80">
        <f>IF(INDEX(Klassenliste!$B$6:$B$40,13)&lt;&gt;0,"max. Punkte","")</f>
        <v/>
      </c>
      <c r="C212" s="81">
        <f>IF(AND(INDEX(Klassenliste!$B$6:$B$40,13)&lt;&gt;0,NOT(OR(RB_Daten!B$3="",RB_Daten!B$3=0))),RB_Daten!B$3,"")</f>
        <v/>
      </c>
      <c r="D212" s="81">
        <f>IF(AND(INDEX(Klassenliste!$B$6:$B$40,13)&lt;&gt;0,NOT(OR(RB_Daten!C$3="",RB_Daten!C$3=0))),RB_Daten!C$3,"")</f>
        <v/>
      </c>
      <c r="E212" s="81">
        <f>IF(AND(INDEX(Klassenliste!$B$6:$B$40,13)&lt;&gt;0,NOT(OR(RB_Daten!D$3="",RB_Daten!D$3=0))),RB_Daten!D$3,"")</f>
        <v/>
      </c>
      <c r="F212" s="81">
        <f>IF(AND(INDEX(Klassenliste!$B$6:$B$40,13)&lt;&gt;0,NOT(OR(RB_Daten!E$3="",RB_Daten!E$3=0))),RB_Daten!E$3,"")</f>
        <v/>
      </c>
      <c r="G212" s="81">
        <f>IF(AND(INDEX(Klassenliste!$B$6:$B$40,13)&lt;&gt;0,NOT(OR(RB_Daten!F$3="",RB_Daten!F$3=0))),RB_Daten!F$3,"")</f>
        <v/>
      </c>
      <c r="H212" s="81">
        <f>IF(AND(INDEX(Klassenliste!$B$6:$B$40,13)&lt;&gt;0,NOT(OR(RB_Daten!G$3="",RB_Daten!G$3=0))),RB_Daten!G$3,"")</f>
        <v/>
      </c>
      <c r="I212" s="81">
        <f>IF(AND(INDEX(Klassenliste!$B$6:$B$40,13)&lt;&gt;0,NOT(OR(RB_Daten!H$3="",RB_Daten!H$3=0))),RB_Daten!H$3,"")</f>
        <v/>
      </c>
      <c r="J212" s="81">
        <f>IF(AND(INDEX(Klassenliste!$B$6:$B$40,13)&lt;&gt;0,NOT(OR(RB_Daten!I$3="",RB_Daten!I$3=0))),RB_Daten!I$3,"")</f>
        <v/>
      </c>
      <c r="K212" s="81">
        <f>IF(AND(INDEX(Klassenliste!$B$6:$B$40,13)&lt;&gt;0,NOT(OR(RB_Daten!J$3="",RB_Daten!J$3=0))),RB_Daten!J$3,"")</f>
        <v/>
      </c>
      <c r="L212" s="81">
        <f>IF(AND(INDEX(Klassenliste!$B$6:$B$40,13)&lt;&gt;0,NOT(OR(RB_Daten!K$3="",RB_Daten!K$3=0))),RB_Daten!K$3,"")</f>
        <v/>
      </c>
      <c r="M212" s="81">
        <f>IF(AND(INDEX(Klassenliste!$B$6:$B$40,13)&lt;&gt;0,NOT(OR(RB_Daten!L$3="",RB_Daten!L$3=0))),RB_Daten!L$3,"")</f>
        <v/>
      </c>
      <c r="N212" s="81">
        <f>IF(AND(INDEX(Klassenliste!$B$6:$B$40,13)&lt;&gt;0,NOT(OR(RB_Daten!M$3="",RB_Daten!M$3=0))),RB_Daten!M$3,"")</f>
        <v/>
      </c>
      <c r="O212" s="82">
        <f>IF(INDEX(Klassenliste!$B$6:$B$40,13)&lt;&gt;0,IF(RB_Daten!$A$4="","",RB_Daten!$A$4),"")</f>
        <v/>
      </c>
    </row>
    <row r="213" ht="18" customHeight="1">
      <c r="B213" s="83">
        <f>IF(INDEX(Klassenliste!$B$6:$B$40,13)&lt;&gt;0,"erreicht","")</f>
        <v/>
      </c>
      <c r="C213" s="84">
        <f>IF(AND(INDEX(Klassenliste!$B$6:$B$40,13)&lt;&gt;0,NOT(OR(RB_Daten!B$3="",RB_Daten!B$3=0))),IF(RB_Daten!B$17="","",RB_Daten!B$17),"")</f>
        <v/>
      </c>
      <c r="D213" s="84">
        <f>IF(AND(INDEX(Klassenliste!$B$6:$B$40,13)&lt;&gt;0,NOT(OR(RB_Daten!C$3="",RB_Daten!C$3=0))),IF(RB_Daten!C$17="","",RB_Daten!C$17),"")</f>
        <v/>
      </c>
      <c r="E213" s="84">
        <f>IF(AND(INDEX(Klassenliste!$B$6:$B$40,13)&lt;&gt;0,NOT(OR(RB_Daten!D$3="",RB_Daten!D$3=0))),IF(RB_Daten!D$17="","",RB_Daten!D$17),"")</f>
        <v/>
      </c>
      <c r="F213" s="84">
        <f>IF(AND(INDEX(Klassenliste!$B$6:$B$40,13)&lt;&gt;0,NOT(OR(RB_Daten!E$3="",RB_Daten!E$3=0))),IF(RB_Daten!E$17="","",RB_Daten!E$17),"")</f>
        <v/>
      </c>
      <c r="G213" s="84">
        <f>IF(AND(INDEX(Klassenliste!$B$6:$B$40,13)&lt;&gt;0,NOT(OR(RB_Daten!F$3="",RB_Daten!F$3=0))),IF(RB_Daten!F$17="","",RB_Daten!F$17),"")</f>
        <v/>
      </c>
      <c r="H213" s="84">
        <f>IF(AND(INDEX(Klassenliste!$B$6:$B$40,13)&lt;&gt;0,NOT(OR(RB_Daten!G$3="",RB_Daten!G$3=0))),IF(RB_Daten!G$17="","",RB_Daten!G$17),"")</f>
        <v/>
      </c>
      <c r="I213" s="84">
        <f>IF(AND(INDEX(Klassenliste!$B$6:$B$40,13)&lt;&gt;0,NOT(OR(RB_Daten!H$3="",RB_Daten!H$3=0))),IF(RB_Daten!H$17="","",RB_Daten!H$17),"")</f>
        <v/>
      </c>
      <c r="J213" s="84">
        <f>IF(AND(INDEX(Klassenliste!$B$6:$B$40,13)&lt;&gt;0,NOT(OR(RB_Daten!I$3="",RB_Daten!I$3=0))),IF(RB_Daten!I$17="","",RB_Daten!I$17),"")</f>
        <v/>
      </c>
      <c r="K213" s="84">
        <f>IF(AND(INDEX(Klassenliste!$B$6:$B$40,13)&lt;&gt;0,NOT(OR(RB_Daten!J$3="",RB_Daten!J$3=0))),IF(RB_Daten!J$17="","",RB_Daten!J$17),"")</f>
        <v/>
      </c>
      <c r="L213" s="84">
        <f>IF(AND(INDEX(Klassenliste!$B$6:$B$40,13)&lt;&gt;0,NOT(OR(RB_Daten!K$3="",RB_Daten!K$3=0))),IF(RB_Daten!K$17="","",RB_Daten!K$17),"")</f>
        <v/>
      </c>
      <c r="M213" s="84">
        <f>IF(AND(INDEX(Klassenliste!$B$6:$B$40,13)&lt;&gt;0,NOT(OR(RB_Daten!L$3="",RB_Daten!L$3=0))),IF(RB_Daten!L$17="","",RB_Daten!L$17),"")</f>
        <v/>
      </c>
      <c r="N213" s="84">
        <f>IF(AND(INDEX(Klassenliste!$B$6:$B$40,13)&lt;&gt;0,NOT(OR(RB_Daten!M$3="",RB_Daten!M$3=0))),IF(RB_Daten!M$17="","",RB_Daten!M$17),"")</f>
        <v/>
      </c>
      <c r="O213" s="85">
        <f>IF(INDEX(Klassenliste!$B$6:$B$40,13)&lt;&gt;0,IF(RB_Daten!$N17="","",RB_Daten!$N17),"")</f>
        <v/>
      </c>
    </row>
    <row r="214" ht="10" customHeight="1">
      <c r="B214" s="76" t="n"/>
      <c r="O214" s="74" t="n"/>
    </row>
    <row r="215" ht="24" customHeight="1">
      <c r="B215" s="73">
        <f>IF(INDEX(Klassenliste!$B$6:$B$40,13)&lt;&gt;0,IF(RB_Daten!$O17="","Ergebnis: –","Ergebnis: "&amp;ROUND(RB_Daten!$O17*100,1)&amp;" %"),"")</f>
        <v/>
      </c>
      <c r="F215" s="86">
        <f>IF(INDEX(Klassenliste!$B$6:$B$40,13)&lt;&gt;0,IF(RB_Daten!$P17="","Punkte: –","Punkte: "&amp;RB_Daten!$P17&amp;"  ("&amp;RB_Daten!$Q17&amp;")"),"")</f>
        <v/>
      </c>
      <c r="O215" s="74" t="n"/>
    </row>
    <row r="216" ht="16" customHeight="1">
      <c r="B216" s="87">
        <f>IF(INDEX(Klassenliste!$B$6:$B$40,13)&lt;&gt;0,"Notenschlüssel:","")</f>
        <v/>
      </c>
      <c r="C216" s="46">
        <f>IF(INDEX(Klassenliste!$B$6:$B$40,13)&lt;&gt;0,"Note 1","")</f>
        <v/>
      </c>
      <c r="D216" s="46">
        <f>IF(INDEX(Klassenliste!$B$6:$B$40,13)&lt;&gt;0,"Note 2","")</f>
        <v/>
      </c>
      <c r="E216" s="46">
        <f>IF(INDEX(Klassenliste!$B$6:$B$40,13)&lt;&gt;0,"Note 3","")</f>
        <v/>
      </c>
      <c r="F216" s="46">
        <f>IF(INDEX(Klassenliste!$B$6:$B$40,13)&lt;&gt;0,"Note 4","")</f>
        <v/>
      </c>
      <c r="G216" s="46">
        <f>IF(INDEX(Klassenliste!$B$6:$B$40,13)&lt;&gt;0,"Note 5","")</f>
        <v/>
      </c>
      <c r="H216" s="46">
        <f>IF(INDEX(Klassenliste!$B$6:$B$40,13)&lt;&gt;0,"Note 6","")</f>
        <v/>
      </c>
      <c r="O216" s="74" t="n"/>
    </row>
    <row r="217" ht="16" customHeight="1">
      <c r="B217" s="87">
        <f>IF(INDEX(Klassenliste!$B$6:$B$40,13)&lt;&gt;0,"ab Punkten:","")</f>
        <v/>
      </c>
      <c r="C217" s="88">
        <f>IF(AND(INDEX(Klassenliste!$B$6:$B$40,13)&lt;&gt;0,RB_Daten!$A$4&lt;&gt;""),CEILING(Notentabelle!$C$17*RB_Daten!$A$4,0.5),"")</f>
        <v/>
      </c>
      <c r="D217" s="88">
        <f>IF(AND(INDEX(Klassenliste!$B$6:$B$40,13)&lt;&gt;0,RB_Daten!$A$4&lt;&gt;""),CEILING(Notentabelle!$C$14*RB_Daten!$A$4,0.5),"")</f>
        <v/>
      </c>
      <c r="E217" s="88">
        <f>IF(AND(INDEX(Klassenliste!$B$6:$B$40,13)&lt;&gt;0,RB_Daten!$A$4&lt;&gt;""),CEILING(Notentabelle!$C$11*RB_Daten!$A$4,0.5),"")</f>
        <v/>
      </c>
      <c r="F217" s="88">
        <f>IF(AND(INDEX(Klassenliste!$B$6:$B$40,13)&lt;&gt;0,RB_Daten!$A$4&lt;&gt;""),CEILING(Notentabelle!$C$8*RB_Daten!$A$4,0.5),"")</f>
        <v/>
      </c>
      <c r="G217" s="88">
        <f>IF(AND(INDEX(Klassenliste!$B$6:$B$40,13)&lt;&gt;0,RB_Daten!$A$4&lt;&gt;""),CEILING(Notentabelle!$C$5*RB_Daten!$A$4,0.5),"")</f>
        <v/>
      </c>
      <c r="H217" s="88">
        <f>IF(AND(INDEX(Klassenliste!$B$6:$B$40,13)&lt;&gt;0,RB_Daten!$A$4&lt;&gt;""),CEILING(0*RB_Daten!$A$4,0.5),"")</f>
        <v/>
      </c>
      <c r="O217" s="74" t="n"/>
    </row>
    <row r="218" ht="14" customHeight="1">
      <c r="B218" s="76" t="n"/>
      <c r="O218" s="74" t="n"/>
    </row>
    <row r="219" ht="110" customHeight="1">
      <c r="B219" s="89">
        <f>IF(INDEX(Klassenliste!$B$6:$B$40,13)&lt;&gt;0,"Lob / Hinweis:","")</f>
        <v/>
      </c>
      <c r="C219" s="90">
        <f>IF(INDEX(Klassenliste!$B$6:$B$40,13)&lt;&gt;0,RB_Daten!$R$17,"")</f>
        <v/>
      </c>
      <c r="D219" s="91" t="n"/>
      <c r="E219" s="91" t="n"/>
      <c r="F219" s="91" t="n"/>
      <c r="G219" s="91" t="n"/>
      <c r="H219" s="91" t="n"/>
      <c r="I219" s="91" t="n"/>
      <c r="J219" s="91" t="n"/>
      <c r="K219" s="91" t="n"/>
      <c r="L219" s="91" t="n"/>
      <c r="M219" s="91" t="n"/>
      <c r="N219" s="91" t="n"/>
      <c r="O219" s="74" t="n"/>
    </row>
    <row r="220" ht="22" customHeight="1">
      <c r="B220" s="87">
        <f>IF(INDEX(Klassenliste!$B$6:$B$40,13)&lt;&gt;0,"Unterschrift Erziehungsberechtigte/r:","")</f>
        <v/>
      </c>
      <c r="F220" s="92" t="n"/>
      <c r="G220" s="92" t="n"/>
      <c r="H220" s="92" t="n"/>
      <c r="I220" s="92" t="n"/>
      <c r="O220" s="74" t="n"/>
    </row>
    <row r="221" ht="8" customHeight="1">
      <c r="B221" s="93" t="n"/>
      <c r="C221" s="94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94" t="n"/>
      <c r="N221" s="94" t="n"/>
      <c r="O221" s="95" t="n"/>
    </row>
    <row r="222" ht="27.5" customHeight="1"/>
    <row r="223" ht="27.5" customHeight="1"/>
    <row r="224" ht="6" customHeight="1">
      <c r="B224" s="70" t="n"/>
      <c r="C224" s="71" t="n"/>
      <c r="D224" s="71" t="n"/>
      <c r="E224" s="71" t="n"/>
      <c r="F224" s="71" t="n"/>
      <c r="G224" s="71" t="n"/>
      <c r="H224" s="71" t="n"/>
      <c r="I224" s="71" t="n"/>
      <c r="J224" s="71" t="n"/>
      <c r="K224" s="71" t="n"/>
      <c r="L224" s="71" t="n"/>
      <c r="M224" s="71" t="n"/>
      <c r="N224" s="71" t="n"/>
      <c r="O224" s="72" t="n"/>
    </row>
    <row r="225" ht="20" customHeight="1">
      <c r="B225" s="73">
        <f>IF(INDEX(Klassenliste!$B$6:$B$40,14)&lt;&gt;0,"Klausur "&amp;$C$2&amp;" · "&amp;Klassenliste!$E$2&amp;" · "&amp;Klassenliste!$J$2&amp;IF(RB_Daten!$A$3="",""," · "&amp;RB_Daten!$A$3),"")</f>
        <v/>
      </c>
      <c r="J225" s="12">
        <f>IF(INDEX(Klassenliste!$B$6:$B$40,14)&lt;&gt;0,IF(RB_Daten!$A$2="","Datum: ______","Datum: "&amp;IFERROR(TEXT(RB_Daten!$A$2,"TT.MM.JJJJ"),RB_Daten!$A$2)),"")</f>
        <v/>
      </c>
      <c r="O225" s="74" t="n"/>
    </row>
    <row r="226" ht="20" customHeight="1">
      <c r="B226" s="75">
        <f>IF(INDEX(Klassenliste!$B$6:$B$40,14)&lt;&gt;0,"Name: "&amp;INDEX(Klassenliste!$C$6:$C$40,14)&amp;" "&amp;INDEX(Klassenliste!$B$6:$B$40,14),"")</f>
        <v/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74" t="n"/>
    </row>
    <row r="227" ht="8" customHeight="1">
      <c r="B227" s="76" t="n"/>
      <c r="O227" s="74" t="n"/>
    </row>
    <row r="228" ht="18" customHeight="1">
      <c r="B228" s="77">
        <f>IF(INDEX(Klassenliste!$B$6:$B$40,14)&lt;&gt;0,"Aufgabe","")</f>
        <v/>
      </c>
      <c r="C228" s="78">
        <f>IF(AND(INDEX(Klassenliste!$B$6:$B$40,14)&lt;&gt;0,NOT(OR(RB_Daten!B$3="",RB_Daten!B$3=0))),RB_Daten!B$2,"")</f>
        <v/>
      </c>
      <c r="D228" s="78">
        <f>IF(AND(INDEX(Klassenliste!$B$6:$B$40,14)&lt;&gt;0,NOT(OR(RB_Daten!C$3="",RB_Daten!C$3=0))),RB_Daten!C$2,"")</f>
        <v/>
      </c>
      <c r="E228" s="78">
        <f>IF(AND(INDEX(Klassenliste!$B$6:$B$40,14)&lt;&gt;0,NOT(OR(RB_Daten!D$3="",RB_Daten!D$3=0))),RB_Daten!D$2,"")</f>
        <v/>
      </c>
      <c r="F228" s="78">
        <f>IF(AND(INDEX(Klassenliste!$B$6:$B$40,14)&lt;&gt;0,NOT(OR(RB_Daten!E$3="",RB_Daten!E$3=0))),RB_Daten!E$2,"")</f>
        <v/>
      </c>
      <c r="G228" s="78">
        <f>IF(AND(INDEX(Klassenliste!$B$6:$B$40,14)&lt;&gt;0,NOT(OR(RB_Daten!F$3="",RB_Daten!F$3=0))),RB_Daten!F$2,"")</f>
        <v/>
      </c>
      <c r="H228" s="78">
        <f>IF(AND(INDEX(Klassenliste!$B$6:$B$40,14)&lt;&gt;0,NOT(OR(RB_Daten!G$3="",RB_Daten!G$3=0))),RB_Daten!G$2,"")</f>
        <v/>
      </c>
      <c r="I228" s="78">
        <f>IF(AND(INDEX(Klassenliste!$B$6:$B$40,14)&lt;&gt;0,NOT(OR(RB_Daten!H$3="",RB_Daten!H$3=0))),RB_Daten!H$2,"")</f>
        <v/>
      </c>
      <c r="J228" s="78">
        <f>IF(AND(INDEX(Klassenliste!$B$6:$B$40,14)&lt;&gt;0,NOT(OR(RB_Daten!I$3="",RB_Daten!I$3=0))),RB_Daten!I$2,"")</f>
        <v/>
      </c>
      <c r="K228" s="78">
        <f>IF(AND(INDEX(Klassenliste!$B$6:$B$40,14)&lt;&gt;0,NOT(OR(RB_Daten!J$3="",RB_Daten!J$3=0))),RB_Daten!J$2,"")</f>
        <v/>
      </c>
      <c r="L228" s="78">
        <f>IF(AND(INDEX(Klassenliste!$B$6:$B$40,14)&lt;&gt;0,NOT(OR(RB_Daten!K$3="",RB_Daten!K$3=0))),RB_Daten!K$2,"")</f>
        <v/>
      </c>
      <c r="M228" s="78">
        <f>IF(AND(INDEX(Klassenliste!$B$6:$B$40,14)&lt;&gt;0,NOT(OR(RB_Daten!L$3="",RB_Daten!L$3=0))),RB_Daten!L$2,"")</f>
        <v/>
      </c>
      <c r="N228" s="78">
        <f>IF(AND(INDEX(Klassenliste!$B$6:$B$40,14)&lt;&gt;0,NOT(OR(RB_Daten!M$3="",RB_Daten!M$3=0))),RB_Daten!M$2,"")</f>
        <v/>
      </c>
      <c r="O228" s="79">
        <f>IF(INDEX(Klassenliste!$B$6:$B$40,14)&lt;&gt;0,"Gesamt","")</f>
        <v/>
      </c>
    </row>
    <row r="229" ht="18" customHeight="1">
      <c r="B229" s="80">
        <f>IF(INDEX(Klassenliste!$B$6:$B$40,14)&lt;&gt;0,"max. Punkte","")</f>
        <v/>
      </c>
      <c r="C229" s="81">
        <f>IF(AND(INDEX(Klassenliste!$B$6:$B$40,14)&lt;&gt;0,NOT(OR(RB_Daten!B$3="",RB_Daten!B$3=0))),RB_Daten!B$3,"")</f>
        <v/>
      </c>
      <c r="D229" s="81">
        <f>IF(AND(INDEX(Klassenliste!$B$6:$B$40,14)&lt;&gt;0,NOT(OR(RB_Daten!C$3="",RB_Daten!C$3=0))),RB_Daten!C$3,"")</f>
        <v/>
      </c>
      <c r="E229" s="81">
        <f>IF(AND(INDEX(Klassenliste!$B$6:$B$40,14)&lt;&gt;0,NOT(OR(RB_Daten!D$3="",RB_Daten!D$3=0))),RB_Daten!D$3,"")</f>
        <v/>
      </c>
      <c r="F229" s="81">
        <f>IF(AND(INDEX(Klassenliste!$B$6:$B$40,14)&lt;&gt;0,NOT(OR(RB_Daten!E$3="",RB_Daten!E$3=0))),RB_Daten!E$3,"")</f>
        <v/>
      </c>
      <c r="G229" s="81">
        <f>IF(AND(INDEX(Klassenliste!$B$6:$B$40,14)&lt;&gt;0,NOT(OR(RB_Daten!F$3="",RB_Daten!F$3=0))),RB_Daten!F$3,"")</f>
        <v/>
      </c>
      <c r="H229" s="81">
        <f>IF(AND(INDEX(Klassenliste!$B$6:$B$40,14)&lt;&gt;0,NOT(OR(RB_Daten!G$3="",RB_Daten!G$3=0))),RB_Daten!G$3,"")</f>
        <v/>
      </c>
      <c r="I229" s="81">
        <f>IF(AND(INDEX(Klassenliste!$B$6:$B$40,14)&lt;&gt;0,NOT(OR(RB_Daten!H$3="",RB_Daten!H$3=0))),RB_Daten!H$3,"")</f>
        <v/>
      </c>
      <c r="J229" s="81">
        <f>IF(AND(INDEX(Klassenliste!$B$6:$B$40,14)&lt;&gt;0,NOT(OR(RB_Daten!I$3="",RB_Daten!I$3=0))),RB_Daten!I$3,"")</f>
        <v/>
      </c>
      <c r="K229" s="81">
        <f>IF(AND(INDEX(Klassenliste!$B$6:$B$40,14)&lt;&gt;0,NOT(OR(RB_Daten!J$3="",RB_Daten!J$3=0))),RB_Daten!J$3,"")</f>
        <v/>
      </c>
      <c r="L229" s="81">
        <f>IF(AND(INDEX(Klassenliste!$B$6:$B$40,14)&lt;&gt;0,NOT(OR(RB_Daten!K$3="",RB_Daten!K$3=0))),RB_Daten!K$3,"")</f>
        <v/>
      </c>
      <c r="M229" s="81">
        <f>IF(AND(INDEX(Klassenliste!$B$6:$B$40,14)&lt;&gt;0,NOT(OR(RB_Daten!L$3="",RB_Daten!L$3=0))),RB_Daten!L$3,"")</f>
        <v/>
      </c>
      <c r="N229" s="81">
        <f>IF(AND(INDEX(Klassenliste!$B$6:$B$40,14)&lt;&gt;0,NOT(OR(RB_Daten!M$3="",RB_Daten!M$3=0))),RB_Daten!M$3,"")</f>
        <v/>
      </c>
      <c r="O229" s="82">
        <f>IF(INDEX(Klassenliste!$B$6:$B$40,14)&lt;&gt;0,IF(RB_Daten!$A$4="","",RB_Daten!$A$4),"")</f>
        <v/>
      </c>
    </row>
    <row r="230" ht="18" customHeight="1">
      <c r="B230" s="83">
        <f>IF(INDEX(Klassenliste!$B$6:$B$40,14)&lt;&gt;0,"erreicht","")</f>
        <v/>
      </c>
      <c r="C230" s="84">
        <f>IF(AND(INDEX(Klassenliste!$B$6:$B$40,14)&lt;&gt;0,NOT(OR(RB_Daten!B$3="",RB_Daten!B$3=0))),IF(RB_Daten!B$18="","",RB_Daten!B$18),"")</f>
        <v/>
      </c>
      <c r="D230" s="84">
        <f>IF(AND(INDEX(Klassenliste!$B$6:$B$40,14)&lt;&gt;0,NOT(OR(RB_Daten!C$3="",RB_Daten!C$3=0))),IF(RB_Daten!C$18="","",RB_Daten!C$18),"")</f>
        <v/>
      </c>
      <c r="E230" s="84">
        <f>IF(AND(INDEX(Klassenliste!$B$6:$B$40,14)&lt;&gt;0,NOT(OR(RB_Daten!D$3="",RB_Daten!D$3=0))),IF(RB_Daten!D$18="","",RB_Daten!D$18),"")</f>
        <v/>
      </c>
      <c r="F230" s="84">
        <f>IF(AND(INDEX(Klassenliste!$B$6:$B$40,14)&lt;&gt;0,NOT(OR(RB_Daten!E$3="",RB_Daten!E$3=0))),IF(RB_Daten!E$18="","",RB_Daten!E$18),"")</f>
        <v/>
      </c>
      <c r="G230" s="84">
        <f>IF(AND(INDEX(Klassenliste!$B$6:$B$40,14)&lt;&gt;0,NOT(OR(RB_Daten!F$3="",RB_Daten!F$3=0))),IF(RB_Daten!F$18="","",RB_Daten!F$18),"")</f>
        <v/>
      </c>
      <c r="H230" s="84">
        <f>IF(AND(INDEX(Klassenliste!$B$6:$B$40,14)&lt;&gt;0,NOT(OR(RB_Daten!G$3="",RB_Daten!G$3=0))),IF(RB_Daten!G$18="","",RB_Daten!G$18),"")</f>
        <v/>
      </c>
      <c r="I230" s="84">
        <f>IF(AND(INDEX(Klassenliste!$B$6:$B$40,14)&lt;&gt;0,NOT(OR(RB_Daten!H$3="",RB_Daten!H$3=0))),IF(RB_Daten!H$18="","",RB_Daten!H$18),"")</f>
        <v/>
      </c>
      <c r="J230" s="84">
        <f>IF(AND(INDEX(Klassenliste!$B$6:$B$40,14)&lt;&gt;0,NOT(OR(RB_Daten!I$3="",RB_Daten!I$3=0))),IF(RB_Daten!I$18="","",RB_Daten!I$18),"")</f>
        <v/>
      </c>
      <c r="K230" s="84">
        <f>IF(AND(INDEX(Klassenliste!$B$6:$B$40,14)&lt;&gt;0,NOT(OR(RB_Daten!J$3="",RB_Daten!J$3=0))),IF(RB_Daten!J$18="","",RB_Daten!J$18),"")</f>
        <v/>
      </c>
      <c r="L230" s="84">
        <f>IF(AND(INDEX(Klassenliste!$B$6:$B$40,14)&lt;&gt;0,NOT(OR(RB_Daten!K$3="",RB_Daten!K$3=0))),IF(RB_Daten!K$18="","",RB_Daten!K$18),"")</f>
        <v/>
      </c>
      <c r="M230" s="84">
        <f>IF(AND(INDEX(Klassenliste!$B$6:$B$40,14)&lt;&gt;0,NOT(OR(RB_Daten!L$3="",RB_Daten!L$3=0))),IF(RB_Daten!L$18="","",RB_Daten!L$18),"")</f>
        <v/>
      </c>
      <c r="N230" s="84">
        <f>IF(AND(INDEX(Klassenliste!$B$6:$B$40,14)&lt;&gt;0,NOT(OR(RB_Daten!M$3="",RB_Daten!M$3=0))),IF(RB_Daten!M$18="","",RB_Daten!M$18),"")</f>
        <v/>
      </c>
      <c r="O230" s="85">
        <f>IF(INDEX(Klassenliste!$B$6:$B$40,14)&lt;&gt;0,IF(RB_Daten!$N18="","",RB_Daten!$N18),"")</f>
        <v/>
      </c>
    </row>
    <row r="231" ht="10" customHeight="1">
      <c r="B231" s="76" t="n"/>
      <c r="O231" s="74" t="n"/>
    </row>
    <row r="232" ht="24" customHeight="1">
      <c r="B232" s="73">
        <f>IF(INDEX(Klassenliste!$B$6:$B$40,14)&lt;&gt;0,IF(RB_Daten!$O18="","Ergebnis: –","Ergebnis: "&amp;ROUND(RB_Daten!$O18*100,1)&amp;" %"),"")</f>
        <v/>
      </c>
      <c r="F232" s="86">
        <f>IF(INDEX(Klassenliste!$B$6:$B$40,14)&lt;&gt;0,IF(RB_Daten!$P18="","Punkte: –","Punkte: "&amp;RB_Daten!$P18&amp;"  ("&amp;RB_Daten!$Q18&amp;")"),"")</f>
        <v/>
      </c>
      <c r="O232" s="74" t="n"/>
    </row>
    <row r="233" ht="16" customHeight="1">
      <c r="B233" s="87">
        <f>IF(INDEX(Klassenliste!$B$6:$B$40,14)&lt;&gt;0,"Notenschlüssel:","")</f>
        <v/>
      </c>
      <c r="C233" s="46">
        <f>IF(INDEX(Klassenliste!$B$6:$B$40,14)&lt;&gt;0,"Note 1","")</f>
        <v/>
      </c>
      <c r="D233" s="46">
        <f>IF(INDEX(Klassenliste!$B$6:$B$40,14)&lt;&gt;0,"Note 2","")</f>
        <v/>
      </c>
      <c r="E233" s="46">
        <f>IF(INDEX(Klassenliste!$B$6:$B$40,14)&lt;&gt;0,"Note 3","")</f>
        <v/>
      </c>
      <c r="F233" s="46">
        <f>IF(INDEX(Klassenliste!$B$6:$B$40,14)&lt;&gt;0,"Note 4","")</f>
        <v/>
      </c>
      <c r="G233" s="46">
        <f>IF(INDEX(Klassenliste!$B$6:$B$40,14)&lt;&gt;0,"Note 5","")</f>
        <v/>
      </c>
      <c r="H233" s="46">
        <f>IF(INDEX(Klassenliste!$B$6:$B$40,14)&lt;&gt;0,"Note 6","")</f>
        <v/>
      </c>
      <c r="O233" s="74" t="n"/>
    </row>
    <row r="234" ht="16" customHeight="1">
      <c r="B234" s="87">
        <f>IF(INDEX(Klassenliste!$B$6:$B$40,14)&lt;&gt;0,"ab Punkten:","")</f>
        <v/>
      </c>
      <c r="C234" s="88">
        <f>IF(AND(INDEX(Klassenliste!$B$6:$B$40,14)&lt;&gt;0,RB_Daten!$A$4&lt;&gt;""),CEILING(Notentabelle!$C$17*RB_Daten!$A$4,0.5),"")</f>
        <v/>
      </c>
      <c r="D234" s="88">
        <f>IF(AND(INDEX(Klassenliste!$B$6:$B$40,14)&lt;&gt;0,RB_Daten!$A$4&lt;&gt;""),CEILING(Notentabelle!$C$14*RB_Daten!$A$4,0.5),"")</f>
        <v/>
      </c>
      <c r="E234" s="88">
        <f>IF(AND(INDEX(Klassenliste!$B$6:$B$40,14)&lt;&gt;0,RB_Daten!$A$4&lt;&gt;""),CEILING(Notentabelle!$C$11*RB_Daten!$A$4,0.5),"")</f>
        <v/>
      </c>
      <c r="F234" s="88">
        <f>IF(AND(INDEX(Klassenliste!$B$6:$B$40,14)&lt;&gt;0,RB_Daten!$A$4&lt;&gt;""),CEILING(Notentabelle!$C$8*RB_Daten!$A$4,0.5),"")</f>
        <v/>
      </c>
      <c r="G234" s="88">
        <f>IF(AND(INDEX(Klassenliste!$B$6:$B$40,14)&lt;&gt;0,RB_Daten!$A$4&lt;&gt;""),CEILING(Notentabelle!$C$5*RB_Daten!$A$4,0.5),"")</f>
        <v/>
      </c>
      <c r="H234" s="88">
        <f>IF(AND(INDEX(Klassenliste!$B$6:$B$40,14)&lt;&gt;0,RB_Daten!$A$4&lt;&gt;""),CEILING(0*RB_Daten!$A$4,0.5),"")</f>
        <v/>
      </c>
      <c r="O234" s="74" t="n"/>
    </row>
    <row r="235" ht="14" customHeight="1">
      <c r="B235" s="76" t="n"/>
      <c r="O235" s="74" t="n"/>
    </row>
    <row r="236" ht="110" customHeight="1">
      <c r="B236" s="89">
        <f>IF(INDEX(Klassenliste!$B$6:$B$40,14)&lt;&gt;0,"Lob / Hinweis:","")</f>
        <v/>
      </c>
      <c r="C236" s="90">
        <f>IF(INDEX(Klassenliste!$B$6:$B$40,14)&lt;&gt;0,RB_Daten!$R$18,"")</f>
        <v/>
      </c>
      <c r="D236" s="91" t="n"/>
      <c r="E236" s="91" t="n"/>
      <c r="F236" s="91" t="n"/>
      <c r="G236" s="91" t="n"/>
      <c r="H236" s="91" t="n"/>
      <c r="I236" s="91" t="n"/>
      <c r="J236" s="91" t="n"/>
      <c r="K236" s="91" t="n"/>
      <c r="L236" s="91" t="n"/>
      <c r="M236" s="91" t="n"/>
      <c r="N236" s="91" t="n"/>
      <c r="O236" s="74" t="n"/>
    </row>
    <row r="237" ht="22" customHeight="1">
      <c r="B237" s="87">
        <f>IF(INDEX(Klassenliste!$B$6:$B$40,14)&lt;&gt;0,"Unterschrift Erziehungsberechtigte/r:","")</f>
        <v/>
      </c>
      <c r="F237" s="92" t="n"/>
      <c r="G237" s="92" t="n"/>
      <c r="H237" s="92" t="n"/>
      <c r="I237" s="92" t="n"/>
      <c r="O237" s="74" t="n"/>
    </row>
    <row r="238" ht="8" customHeight="1">
      <c r="B238" s="93" t="n"/>
      <c r="C238" s="94" t="n"/>
      <c r="D238" s="94" t="n"/>
      <c r="E238" s="94" t="n"/>
      <c r="F238" s="94" t="n"/>
      <c r="G238" s="94" t="n"/>
      <c r="H238" s="94" t="n"/>
      <c r="I238" s="94" t="n"/>
      <c r="J238" s="94" t="n"/>
      <c r="K238" s="94" t="n"/>
      <c r="L238" s="94" t="n"/>
      <c r="M238" s="94" t="n"/>
      <c r="N238" s="94" t="n"/>
      <c r="O238" s="95" t="n"/>
    </row>
    <row r="239" ht="27.5" customHeight="1"/>
    <row r="240" ht="27.5" customHeight="1"/>
    <row r="241" ht="6" customHeight="1">
      <c r="B241" s="70" t="n"/>
      <c r="C241" s="71" t="n"/>
      <c r="D241" s="71" t="n"/>
      <c r="E241" s="71" t="n"/>
      <c r="F241" s="71" t="n"/>
      <c r="G241" s="71" t="n"/>
      <c r="H241" s="71" t="n"/>
      <c r="I241" s="71" t="n"/>
      <c r="J241" s="71" t="n"/>
      <c r="K241" s="71" t="n"/>
      <c r="L241" s="71" t="n"/>
      <c r="M241" s="71" t="n"/>
      <c r="N241" s="71" t="n"/>
      <c r="O241" s="72" t="n"/>
    </row>
    <row r="242" ht="20" customHeight="1">
      <c r="B242" s="73">
        <f>IF(INDEX(Klassenliste!$B$6:$B$40,15)&lt;&gt;0,"Klausur "&amp;$C$2&amp;" · "&amp;Klassenliste!$E$2&amp;" · "&amp;Klassenliste!$J$2&amp;IF(RB_Daten!$A$3="",""," · "&amp;RB_Daten!$A$3),"")</f>
        <v/>
      </c>
      <c r="J242" s="12">
        <f>IF(INDEX(Klassenliste!$B$6:$B$40,15)&lt;&gt;0,IF(RB_Daten!$A$2="","Datum: ______","Datum: "&amp;IFERROR(TEXT(RB_Daten!$A$2,"TT.MM.JJJJ"),RB_Daten!$A$2)),"")</f>
        <v/>
      </c>
      <c r="O242" s="74" t="n"/>
    </row>
    <row r="243" ht="20" customHeight="1">
      <c r="B243" s="75">
        <f>IF(INDEX(Klassenliste!$B$6:$B$40,15)&lt;&gt;0,"Name: "&amp;INDEX(Klassenliste!$C$6:$C$40,15)&amp;" "&amp;INDEX(Klassenliste!$B$6:$B$40,15),"")</f>
        <v/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74" t="n"/>
    </row>
    <row r="244" ht="8" customHeight="1">
      <c r="B244" s="76" t="n"/>
      <c r="O244" s="74" t="n"/>
    </row>
    <row r="245" ht="18" customHeight="1">
      <c r="B245" s="77">
        <f>IF(INDEX(Klassenliste!$B$6:$B$40,15)&lt;&gt;0,"Aufgabe","")</f>
        <v/>
      </c>
      <c r="C245" s="78">
        <f>IF(AND(INDEX(Klassenliste!$B$6:$B$40,15)&lt;&gt;0,NOT(OR(RB_Daten!B$3="",RB_Daten!B$3=0))),RB_Daten!B$2,"")</f>
        <v/>
      </c>
      <c r="D245" s="78">
        <f>IF(AND(INDEX(Klassenliste!$B$6:$B$40,15)&lt;&gt;0,NOT(OR(RB_Daten!C$3="",RB_Daten!C$3=0))),RB_Daten!C$2,"")</f>
        <v/>
      </c>
      <c r="E245" s="78">
        <f>IF(AND(INDEX(Klassenliste!$B$6:$B$40,15)&lt;&gt;0,NOT(OR(RB_Daten!D$3="",RB_Daten!D$3=0))),RB_Daten!D$2,"")</f>
        <v/>
      </c>
      <c r="F245" s="78">
        <f>IF(AND(INDEX(Klassenliste!$B$6:$B$40,15)&lt;&gt;0,NOT(OR(RB_Daten!E$3="",RB_Daten!E$3=0))),RB_Daten!E$2,"")</f>
        <v/>
      </c>
      <c r="G245" s="78">
        <f>IF(AND(INDEX(Klassenliste!$B$6:$B$40,15)&lt;&gt;0,NOT(OR(RB_Daten!F$3="",RB_Daten!F$3=0))),RB_Daten!F$2,"")</f>
        <v/>
      </c>
      <c r="H245" s="78">
        <f>IF(AND(INDEX(Klassenliste!$B$6:$B$40,15)&lt;&gt;0,NOT(OR(RB_Daten!G$3="",RB_Daten!G$3=0))),RB_Daten!G$2,"")</f>
        <v/>
      </c>
      <c r="I245" s="78">
        <f>IF(AND(INDEX(Klassenliste!$B$6:$B$40,15)&lt;&gt;0,NOT(OR(RB_Daten!H$3="",RB_Daten!H$3=0))),RB_Daten!H$2,"")</f>
        <v/>
      </c>
      <c r="J245" s="78">
        <f>IF(AND(INDEX(Klassenliste!$B$6:$B$40,15)&lt;&gt;0,NOT(OR(RB_Daten!I$3="",RB_Daten!I$3=0))),RB_Daten!I$2,"")</f>
        <v/>
      </c>
      <c r="K245" s="78">
        <f>IF(AND(INDEX(Klassenliste!$B$6:$B$40,15)&lt;&gt;0,NOT(OR(RB_Daten!J$3="",RB_Daten!J$3=0))),RB_Daten!J$2,"")</f>
        <v/>
      </c>
      <c r="L245" s="78">
        <f>IF(AND(INDEX(Klassenliste!$B$6:$B$40,15)&lt;&gt;0,NOT(OR(RB_Daten!K$3="",RB_Daten!K$3=0))),RB_Daten!K$2,"")</f>
        <v/>
      </c>
      <c r="M245" s="78">
        <f>IF(AND(INDEX(Klassenliste!$B$6:$B$40,15)&lt;&gt;0,NOT(OR(RB_Daten!L$3="",RB_Daten!L$3=0))),RB_Daten!L$2,"")</f>
        <v/>
      </c>
      <c r="N245" s="78">
        <f>IF(AND(INDEX(Klassenliste!$B$6:$B$40,15)&lt;&gt;0,NOT(OR(RB_Daten!M$3="",RB_Daten!M$3=0))),RB_Daten!M$2,"")</f>
        <v/>
      </c>
      <c r="O245" s="79">
        <f>IF(INDEX(Klassenliste!$B$6:$B$40,15)&lt;&gt;0,"Gesamt","")</f>
        <v/>
      </c>
    </row>
    <row r="246" ht="18" customHeight="1">
      <c r="B246" s="80">
        <f>IF(INDEX(Klassenliste!$B$6:$B$40,15)&lt;&gt;0,"max. Punkte","")</f>
        <v/>
      </c>
      <c r="C246" s="81">
        <f>IF(AND(INDEX(Klassenliste!$B$6:$B$40,15)&lt;&gt;0,NOT(OR(RB_Daten!B$3="",RB_Daten!B$3=0))),RB_Daten!B$3,"")</f>
        <v/>
      </c>
      <c r="D246" s="81">
        <f>IF(AND(INDEX(Klassenliste!$B$6:$B$40,15)&lt;&gt;0,NOT(OR(RB_Daten!C$3="",RB_Daten!C$3=0))),RB_Daten!C$3,"")</f>
        <v/>
      </c>
      <c r="E246" s="81">
        <f>IF(AND(INDEX(Klassenliste!$B$6:$B$40,15)&lt;&gt;0,NOT(OR(RB_Daten!D$3="",RB_Daten!D$3=0))),RB_Daten!D$3,"")</f>
        <v/>
      </c>
      <c r="F246" s="81">
        <f>IF(AND(INDEX(Klassenliste!$B$6:$B$40,15)&lt;&gt;0,NOT(OR(RB_Daten!E$3="",RB_Daten!E$3=0))),RB_Daten!E$3,"")</f>
        <v/>
      </c>
      <c r="G246" s="81">
        <f>IF(AND(INDEX(Klassenliste!$B$6:$B$40,15)&lt;&gt;0,NOT(OR(RB_Daten!F$3="",RB_Daten!F$3=0))),RB_Daten!F$3,"")</f>
        <v/>
      </c>
      <c r="H246" s="81">
        <f>IF(AND(INDEX(Klassenliste!$B$6:$B$40,15)&lt;&gt;0,NOT(OR(RB_Daten!G$3="",RB_Daten!G$3=0))),RB_Daten!G$3,"")</f>
        <v/>
      </c>
      <c r="I246" s="81">
        <f>IF(AND(INDEX(Klassenliste!$B$6:$B$40,15)&lt;&gt;0,NOT(OR(RB_Daten!H$3="",RB_Daten!H$3=0))),RB_Daten!H$3,"")</f>
        <v/>
      </c>
      <c r="J246" s="81">
        <f>IF(AND(INDEX(Klassenliste!$B$6:$B$40,15)&lt;&gt;0,NOT(OR(RB_Daten!I$3="",RB_Daten!I$3=0))),RB_Daten!I$3,"")</f>
        <v/>
      </c>
      <c r="K246" s="81">
        <f>IF(AND(INDEX(Klassenliste!$B$6:$B$40,15)&lt;&gt;0,NOT(OR(RB_Daten!J$3="",RB_Daten!J$3=0))),RB_Daten!J$3,"")</f>
        <v/>
      </c>
      <c r="L246" s="81">
        <f>IF(AND(INDEX(Klassenliste!$B$6:$B$40,15)&lt;&gt;0,NOT(OR(RB_Daten!K$3="",RB_Daten!K$3=0))),RB_Daten!K$3,"")</f>
        <v/>
      </c>
      <c r="M246" s="81">
        <f>IF(AND(INDEX(Klassenliste!$B$6:$B$40,15)&lt;&gt;0,NOT(OR(RB_Daten!L$3="",RB_Daten!L$3=0))),RB_Daten!L$3,"")</f>
        <v/>
      </c>
      <c r="N246" s="81">
        <f>IF(AND(INDEX(Klassenliste!$B$6:$B$40,15)&lt;&gt;0,NOT(OR(RB_Daten!M$3="",RB_Daten!M$3=0))),RB_Daten!M$3,"")</f>
        <v/>
      </c>
      <c r="O246" s="82">
        <f>IF(INDEX(Klassenliste!$B$6:$B$40,15)&lt;&gt;0,IF(RB_Daten!$A$4="","",RB_Daten!$A$4),"")</f>
        <v/>
      </c>
    </row>
    <row r="247" ht="18" customHeight="1">
      <c r="B247" s="83">
        <f>IF(INDEX(Klassenliste!$B$6:$B$40,15)&lt;&gt;0,"erreicht","")</f>
        <v/>
      </c>
      <c r="C247" s="84">
        <f>IF(AND(INDEX(Klassenliste!$B$6:$B$40,15)&lt;&gt;0,NOT(OR(RB_Daten!B$3="",RB_Daten!B$3=0))),IF(RB_Daten!B$19="","",RB_Daten!B$19),"")</f>
        <v/>
      </c>
      <c r="D247" s="84">
        <f>IF(AND(INDEX(Klassenliste!$B$6:$B$40,15)&lt;&gt;0,NOT(OR(RB_Daten!C$3="",RB_Daten!C$3=0))),IF(RB_Daten!C$19="","",RB_Daten!C$19),"")</f>
        <v/>
      </c>
      <c r="E247" s="84">
        <f>IF(AND(INDEX(Klassenliste!$B$6:$B$40,15)&lt;&gt;0,NOT(OR(RB_Daten!D$3="",RB_Daten!D$3=0))),IF(RB_Daten!D$19="","",RB_Daten!D$19),"")</f>
        <v/>
      </c>
      <c r="F247" s="84">
        <f>IF(AND(INDEX(Klassenliste!$B$6:$B$40,15)&lt;&gt;0,NOT(OR(RB_Daten!E$3="",RB_Daten!E$3=0))),IF(RB_Daten!E$19="","",RB_Daten!E$19),"")</f>
        <v/>
      </c>
      <c r="G247" s="84">
        <f>IF(AND(INDEX(Klassenliste!$B$6:$B$40,15)&lt;&gt;0,NOT(OR(RB_Daten!F$3="",RB_Daten!F$3=0))),IF(RB_Daten!F$19="","",RB_Daten!F$19),"")</f>
        <v/>
      </c>
      <c r="H247" s="84">
        <f>IF(AND(INDEX(Klassenliste!$B$6:$B$40,15)&lt;&gt;0,NOT(OR(RB_Daten!G$3="",RB_Daten!G$3=0))),IF(RB_Daten!G$19="","",RB_Daten!G$19),"")</f>
        <v/>
      </c>
      <c r="I247" s="84">
        <f>IF(AND(INDEX(Klassenliste!$B$6:$B$40,15)&lt;&gt;0,NOT(OR(RB_Daten!H$3="",RB_Daten!H$3=0))),IF(RB_Daten!H$19="","",RB_Daten!H$19),"")</f>
        <v/>
      </c>
      <c r="J247" s="84">
        <f>IF(AND(INDEX(Klassenliste!$B$6:$B$40,15)&lt;&gt;0,NOT(OR(RB_Daten!I$3="",RB_Daten!I$3=0))),IF(RB_Daten!I$19="","",RB_Daten!I$19),"")</f>
        <v/>
      </c>
      <c r="K247" s="84">
        <f>IF(AND(INDEX(Klassenliste!$B$6:$B$40,15)&lt;&gt;0,NOT(OR(RB_Daten!J$3="",RB_Daten!J$3=0))),IF(RB_Daten!J$19="","",RB_Daten!J$19),"")</f>
        <v/>
      </c>
      <c r="L247" s="84">
        <f>IF(AND(INDEX(Klassenliste!$B$6:$B$40,15)&lt;&gt;0,NOT(OR(RB_Daten!K$3="",RB_Daten!K$3=0))),IF(RB_Daten!K$19="","",RB_Daten!K$19),"")</f>
        <v/>
      </c>
      <c r="M247" s="84">
        <f>IF(AND(INDEX(Klassenliste!$B$6:$B$40,15)&lt;&gt;0,NOT(OR(RB_Daten!L$3="",RB_Daten!L$3=0))),IF(RB_Daten!L$19="","",RB_Daten!L$19),"")</f>
        <v/>
      </c>
      <c r="N247" s="84">
        <f>IF(AND(INDEX(Klassenliste!$B$6:$B$40,15)&lt;&gt;0,NOT(OR(RB_Daten!M$3="",RB_Daten!M$3=0))),IF(RB_Daten!M$19="","",RB_Daten!M$19),"")</f>
        <v/>
      </c>
      <c r="O247" s="85">
        <f>IF(INDEX(Klassenliste!$B$6:$B$40,15)&lt;&gt;0,IF(RB_Daten!$N19="","",RB_Daten!$N19),"")</f>
        <v/>
      </c>
    </row>
    <row r="248" ht="10" customHeight="1">
      <c r="B248" s="76" t="n"/>
      <c r="O248" s="74" t="n"/>
    </row>
    <row r="249" ht="24" customHeight="1">
      <c r="B249" s="73">
        <f>IF(INDEX(Klassenliste!$B$6:$B$40,15)&lt;&gt;0,IF(RB_Daten!$O19="","Ergebnis: –","Ergebnis: "&amp;ROUND(RB_Daten!$O19*100,1)&amp;" %"),"")</f>
        <v/>
      </c>
      <c r="F249" s="86">
        <f>IF(INDEX(Klassenliste!$B$6:$B$40,15)&lt;&gt;0,IF(RB_Daten!$P19="","Punkte: –","Punkte: "&amp;RB_Daten!$P19&amp;"  ("&amp;RB_Daten!$Q19&amp;")"),"")</f>
        <v/>
      </c>
      <c r="O249" s="74" t="n"/>
    </row>
    <row r="250" ht="16" customHeight="1">
      <c r="B250" s="87">
        <f>IF(INDEX(Klassenliste!$B$6:$B$40,15)&lt;&gt;0,"Notenschlüssel:","")</f>
        <v/>
      </c>
      <c r="C250" s="46">
        <f>IF(INDEX(Klassenliste!$B$6:$B$40,15)&lt;&gt;0,"Note 1","")</f>
        <v/>
      </c>
      <c r="D250" s="46">
        <f>IF(INDEX(Klassenliste!$B$6:$B$40,15)&lt;&gt;0,"Note 2","")</f>
        <v/>
      </c>
      <c r="E250" s="46">
        <f>IF(INDEX(Klassenliste!$B$6:$B$40,15)&lt;&gt;0,"Note 3","")</f>
        <v/>
      </c>
      <c r="F250" s="46">
        <f>IF(INDEX(Klassenliste!$B$6:$B$40,15)&lt;&gt;0,"Note 4","")</f>
        <v/>
      </c>
      <c r="G250" s="46">
        <f>IF(INDEX(Klassenliste!$B$6:$B$40,15)&lt;&gt;0,"Note 5","")</f>
        <v/>
      </c>
      <c r="H250" s="46">
        <f>IF(INDEX(Klassenliste!$B$6:$B$40,15)&lt;&gt;0,"Note 6","")</f>
        <v/>
      </c>
      <c r="O250" s="74" t="n"/>
    </row>
    <row r="251" ht="16" customHeight="1">
      <c r="B251" s="87">
        <f>IF(INDEX(Klassenliste!$B$6:$B$40,15)&lt;&gt;0,"ab Punkten:","")</f>
        <v/>
      </c>
      <c r="C251" s="88">
        <f>IF(AND(INDEX(Klassenliste!$B$6:$B$40,15)&lt;&gt;0,RB_Daten!$A$4&lt;&gt;""),CEILING(Notentabelle!$C$17*RB_Daten!$A$4,0.5),"")</f>
        <v/>
      </c>
      <c r="D251" s="88">
        <f>IF(AND(INDEX(Klassenliste!$B$6:$B$40,15)&lt;&gt;0,RB_Daten!$A$4&lt;&gt;""),CEILING(Notentabelle!$C$14*RB_Daten!$A$4,0.5),"")</f>
        <v/>
      </c>
      <c r="E251" s="88">
        <f>IF(AND(INDEX(Klassenliste!$B$6:$B$40,15)&lt;&gt;0,RB_Daten!$A$4&lt;&gt;""),CEILING(Notentabelle!$C$11*RB_Daten!$A$4,0.5),"")</f>
        <v/>
      </c>
      <c r="F251" s="88">
        <f>IF(AND(INDEX(Klassenliste!$B$6:$B$40,15)&lt;&gt;0,RB_Daten!$A$4&lt;&gt;""),CEILING(Notentabelle!$C$8*RB_Daten!$A$4,0.5),"")</f>
        <v/>
      </c>
      <c r="G251" s="88">
        <f>IF(AND(INDEX(Klassenliste!$B$6:$B$40,15)&lt;&gt;0,RB_Daten!$A$4&lt;&gt;""),CEILING(Notentabelle!$C$5*RB_Daten!$A$4,0.5),"")</f>
        <v/>
      </c>
      <c r="H251" s="88">
        <f>IF(AND(INDEX(Klassenliste!$B$6:$B$40,15)&lt;&gt;0,RB_Daten!$A$4&lt;&gt;""),CEILING(0*RB_Daten!$A$4,0.5),"")</f>
        <v/>
      </c>
      <c r="O251" s="74" t="n"/>
    </row>
    <row r="252" ht="14" customHeight="1">
      <c r="B252" s="76" t="n"/>
      <c r="O252" s="74" t="n"/>
    </row>
    <row r="253" ht="110" customHeight="1">
      <c r="B253" s="89">
        <f>IF(INDEX(Klassenliste!$B$6:$B$40,15)&lt;&gt;0,"Lob / Hinweis:","")</f>
        <v/>
      </c>
      <c r="C253" s="90">
        <f>IF(INDEX(Klassenliste!$B$6:$B$40,15)&lt;&gt;0,RB_Daten!$R$19,"")</f>
        <v/>
      </c>
      <c r="D253" s="91" t="n"/>
      <c r="E253" s="91" t="n"/>
      <c r="F253" s="91" t="n"/>
      <c r="G253" s="91" t="n"/>
      <c r="H253" s="91" t="n"/>
      <c r="I253" s="91" t="n"/>
      <c r="J253" s="91" t="n"/>
      <c r="K253" s="91" t="n"/>
      <c r="L253" s="91" t="n"/>
      <c r="M253" s="91" t="n"/>
      <c r="N253" s="91" t="n"/>
      <c r="O253" s="74" t="n"/>
    </row>
    <row r="254" ht="22" customHeight="1">
      <c r="B254" s="87">
        <f>IF(INDEX(Klassenliste!$B$6:$B$40,15)&lt;&gt;0,"Unterschrift Erziehungsberechtigte/r:","")</f>
        <v/>
      </c>
      <c r="F254" s="92" t="n"/>
      <c r="G254" s="92" t="n"/>
      <c r="H254" s="92" t="n"/>
      <c r="I254" s="92" t="n"/>
      <c r="O254" s="74" t="n"/>
    </row>
    <row r="255" ht="8" customHeight="1">
      <c r="B255" s="93" t="n"/>
      <c r="C255" s="94" t="n"/>
      <c r="D255" s="94" t="n"/>
      <c r="E255" s="94" t="n"/>
      <c r="F255" s="94" t="n"/>
      <c r="G255" s="94" t="n"/>
      <c r="H255" s="94" t="n"/>
      <c r="I255" s="94" t="n"/>
      <c r="J255" s="94" t="n"/>
      <c r="K255" s="94" t="n"/>
      <c r="L255" s="94" t="n"/>
      <c r="M255" s="94" t="n"/>
      <c r="N255" s="94" t="n"/>
      <c r="O255" s="95" t="n"/>
    </row>
    <row r="256" ht="27.5" customHeight="1"/>
    <row r="257" ht="27.5" customHeight="1"/>
    <row r="258" ht="6" customHeight="1">
      <c r="B258" s="70" t="n"/>
      <c r="C258" s="71" t="n"/>
      <c r="D258" s="71" t="n"/>
      <c r="E258" s="71" t="n"/>
      <c r="F258" s="71" t="n"/>
      <c r="G258" s="71" t="n"/>
      <c r="H258" s="71" t="n"/>
      <c r="I258" s="71" t="n"/>
      <c r="J258" s="71" t="n"/>
      <c r="K258" s="71" t="n"/>
      <c r="L258" s="71" t="n"/>
      <c r="M258" s="71" t="n"/>
      <c r="N258" s="71" t="n"/>
      <c r="O258" s="72" t="n"/>
    </row>
    <row r="259" ht="20" customHeight="1">
      <c r="B259" s="73">
        <f>IF(INDEX(Klassenliste!$B$6:$B$40,16)&lt;&gt;0,"Klausur "&amp;$C$2&amp;" · "&amp;Klassenliste!$E$2&amp;" · "&amp;Klassenliste!$J$2&amp;IF(RB_Daten!$A$3="",""," · "&amp;RB_Daten!$A$3),"")</f>
        <v/>
      </c>
      <c r="J259" s="12">
        <f>IF(INDEX(Klassenliste!$B$6:$B$40,16)&lt;&gt;0,IF(RB_Daten!$A$2="","Datum: ______","Datum: "&amp;IFERROR(TEXT(RB_Daten!$A$2,"TT.MM.JJJJ"),RB_Daten!$A$2)),"")</f>
        <v/>
      </c>
      <c r="O259" s="74" t="n"/>
    </row>
    <row r="260" ht="20" customHeight="1">
      <c r="B260" s="75">
        <f>IF(INDEX(Klassenliste!$B$6:$B$40,16)&lt;&gt;0,"Name: "&amp;INDEX(Klassenliste!$C$6:$C$40,16)&amp;" "&amp;INDEX(Klassenliste!$B$6:$B$40,16),"")</f>
        <v/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74" t="n"/>
    </row>
    <row r="261" ht="8" customHeight="1">
      <c r="B261" s="76" t="n"/>
      <c r="O261" s="74" t="n"/>
    </row>
    <row r="262" ht="18" customHeight="1">
      <c r="B262" s="77">
        <f>IF(INDEX(Klassenliste!$B$6:$B$40,16)&lt;&gt;0,"Aufgabe","")</f>
        <v/>
      </c>
      <c r="C262" s="78">
        <f>IF(AND(INDEX(Klassenliste!$B$6:$B$40,16)&lt;&gt;0,NOT(OR(RB_Daten!B$3="",RB_Daten!B$3=0))),RB_Daten!B$2,"")</f>
        <v/>
      </c>
      <c r="D262" s="78">
        <f>IF(AND(INDEX(Klassenliste!$B$6:$B$40,16)&lt;&gt;0,NOT(OR(RB_Daten!C$3="",RB_Daten!C$3=0))),RB_Daten!C$2,"")</f>
        <v/>
      </c>
      <c r="E262" s="78">
        <f>IF(AND(INDEX(Klassenliste!$B$6:$B$40,16)&lt;&gt;0,NOT(OR(RB_Daten!D$3="",RB_Daten!D$3=0))),RB_Daten!D$2,"")</f>
        <v/>
      </c>
      <c r="F262" s="78">
        <f>IF(AND(INDEX(Klassenliste!$B$6:$B$40,16)&lt;&gt;0,NOT(OR(RB_Daten!E$3="",RB_Daten!E$3=0))),RB_Daten!E$2,"")</f>
        <v/>
      </c>
      <c r="G262" s="78">
        <f>IF(AND(INDEX(Klassenliste!$B$6:$B$40,16)&lt;&gt;0,NOT(OR(RB_Daten!F$3="",RB_Daten!F$3=0))),RB_Daten!F$2,"")</f>
        <v/>
      </c>
      <c r="H262" s="78">
        <f>IF(AND(INDEX(Klassenliste!$B$6:$B$40,16)&lt;&gt;0,NOT(OR(RB_Daten!G$3="",RB_Daten!G$3=0))),RB_Daten!G$2,"")</f>
        <v/>
      </c>
      <c r="I262" s="78">
        <f>IF(AND(INDEX(Klassenliste!$B$6:$B$40,16)&lt;&gt;0,NOT(OR(RB_Daten!H$3="",RB_Daten!H$3=0))),RB_Daten!H$2,"")</f>
        <v/>
      </c>
      <c r="J262" s="78">
        <f>IF(AND(INDEX(Klassenliste!$B$6:$B$40,16)&lt;&gt;0,NOT(OR(RB_Daten!I$3="",RB_Daten!I$3=0))),RB_Daten!I$2,"")</f>
        <v/>
      </c>
      <c r="K262" s="78">
        <f>IF(AND(INDEX(Klassenliste!$B$6:$B$40,16)&lt;&gt;0,NOT(OR(RB_Daten!J$3="",RB_Daten!J$3=0))),RB_Daten!J$2,"")</f>
        <v/>
      </c>
      <c r="L262" s="78">
        <f>IF(AND(INDEX(Klassenliste!$B$6:$B$40,16)&lt;&gt;0,NOT(OR(RB_Daten!K$3="",RB_Daten!K$3=0))),RB_Daten!K$2,"")</f>
        <v/>
      </c>
      <c r="M262" s="78">
        <f>IF(AND(INDEX(Klassenliste!$B$6:$B$40,16)&lt;&gt;0,NOT(OR(RB_Daten!L$3="",RB_Daten!L$3=0))),RB_Daten!L$2,"")</f>
        <v/>
      </c>
      <c r="N262" s="78">
        <f>IF(AND(INDEX(Klassenliste!$B$6:$B$40,16)&lt;&gt;0,NOT(OR(RB_Daten!M$3="",RB_Daten!M$3=0))),RB_Daten!M$2,"")</f>
        <v/>
      </c>
      <c r="O262" s="79">
        <f>IF(INDEX(Klassenliste!$B$6:$B$40,16)&lt;&gt;0,"Gesamt","")</f>
        <v/>
      </c>
    </row>
    <row r="263" ht="18" customHeight="1">
      <c r="B263" s="80">
        <f>IF(INDEX(Klassenliste!$B$6:$B$40,16)&lt;&gt;0,"max. Punkte","")</f>
        <v/>
      </c>
      <c r="C263" s="81">
        <f>IF(AND(INDEX(Klassenliste!$B$6:$B$40,16)&lt;&gt;0,NOT(OR(RB_Daten!B$3="",RB_Daten!B$3=0))),RB_Daten!B$3,"")</f>
        <v/>
      </c>
      <c r="D263" s="81">
        <f>IF(AND(INDEX(Klassenliste!$B$6:$B$40,16)&lt;&gt;0,NOT(OR(RB_Daten!C$3="",RB_Daten!C$3=0))),RB_Daten!C$3,"")</f>
        <v/>
      </c>
      <c r="E263" s="81">
        <f>IF(AND(INDEX(Klassenliste!$B$6:$B$40,16)&lt;&gt;0,NOT(OR(RB_Daten!D$3="",RB_Daten!D$3=0))),RB_Daten!D$3,"")</f>
        <v/>
      </c>
      <c r="F263" s="81">
        <f>IF(AND(INDEX(Klassenliste!$B$6:$B$40,16)&lt;&gt;0,NOT(OR(RB_Daten!E$3="",RB_Daten!E$3=0))),RB_Daten!E$3,"")</f>
        <v/>
      </c>
      <c r="G263" s="81">
        <f>IF(AND(INDEX(Klassenliste!$B$6:$B$40,16)&lt;&gt;0,NOT(OR(RB_Daten!F$3="",RB_Daten!F$3=0))),RB_Daten!F$3,"")</f>
        <v/>
      </c>
      <c r="H263" s="81">
        <f>IF(AND(INDEX(Klassenliste!$B$6:$B$40,16)&lt;&gt;0,NOT(OR(RB_Daten!G$3="",RB_Daten!G$3=0))),RB_Daten!G$3,"")</f>
        <v/>
      </c>
      <c r="I263" s="81">
        <f>IF(AND(INDEX(Klassenliste!$B$6:$B$40,16)&lt;&gt;0,NOT(OR(RB_Daten!H$3="",RB_Daten!H$3=0))),RB_Daten!H$3,"")</f>
        <v/>
      </c>
      <c r="J263" s="81">
        <f>IF(AND(INDEX(Klassenliste!$B$6:$B$40,16)&lt;&gt;0,NOT(OR(RB_Daten!I$3="",RB_Daten!I$3=0))),RB_Daten!I$3,"")</f>
        <v/>
      </c>
      <c r="K263" s="81">
        <f>IF(AND(INDEX(Klassenliste!$B$6:$B$40,16)&lt;&gt;0,NOT(OR(RB_Daten!J$3="",RB_Daten!J$3=0))),RB_Daten!J$3,"")</f>
        <v/>
      </c>
      <c r="L263" s="81">
        <f>IF(AND(INDEX(Klassenliste!$B$6:$B$40,16)&lt;&gt;0,NOT(OR(RB_Daten!K$3="",RB_Daten!K$3=0))),RB_Daten!K$3,"")</f>
        <v/>
      </c>
      <c r="M263" s="81">
        <f>IF(AND(INDEX(Klassenliste!$B$6:$B$40,16)&lt;&gt;0,NOT(OR(RB_Daten!L$3="",RB_Daten!L$3=0))),RB_Daten!L$3,"")</f>
        <v/>
      </c>
      <c r="N263" s="81">
        <f>IF(AND(INDEX(Klassenliste!$B$6:$B$40,16)&lt;&gt;0,NOT(OR(RB_Daten!M$3="",RB_Daten!M$3=0))),RB_Daten!M$3,"")</f>
        <v/>
      </c>
      <c r="O263" s="82">
        <f>IF(INDEX(Klassenliste!$B$6:$B$40,16)&lt;&gt;0,IF(RB_Daten!$A$4="","",RB_Daten!$A$4),"")</f>
        <v/>
      </c>
    </row>
    <row r="264" ht="18" customHeight="1">
      <c r="B264" s="83">
        <f>IF(INDEX(Klassenliste!$B$6:$B$40,16)&lt;&gt;0,"erreicht","")</f>
        <v/>
      </c>
      <c r="C264" s="84">
        <f>IF(AND(INDEX(Klassenliste!$B$6:$B$40,16)&lt;&gt;0,NOT(OR(RB_Daten!B$3="",RB_Daten!B$3=0))),IF(RB_Daten!B$20="","",RB_Daten!B$20),"")</f>
        <v/>
      </c>
      <c r="D264" s="84">
        <f>IF(AND(INDEX(Klassenliste!$B$6:$B$40,16)&lt;&gt;0,NOT(OR(RB_Daten!C$3="",RB_Daten!C$3=0))),IF(RB_Daten!C$20="","",RB_Daten!C$20),"")</f>
        <v/>
      </c>
      <c r="E264" s="84">
        <f>IF(AND(INDEX(Klassenliste!$B$6:$B$40,16)&lt;&gt;0,NOT(OR(RB_Daten!D$3="",RB_Daten!D$3=0))),IF(RB_Daten!D$20="","",RB_Daten!D$20),"")</f>
        <v/>
      </c>
      <c r="F264" s="84">
        <f>IF(AND(INDEX(Klassenliste!$B$6:$B$40,16)&lt;&gt;0,NOT(OR(RB_Daten!E$3="",RB_Daten!E$3=0))),IF(RB_Daten!E$20="","",RB_Daten!E$20),"")</f>
        <v/>
      </c>
      <c r="G264" s="84">
        <f>IF(AND(INDEX(Klassenliste!$B$6:$B$40,16)&lt;&gt;0,NOT(OR(RB_Daten!F$3="",RB_Daten!F$3=0))),IF(RB_Daten!F$20="","",RB_Daten!F$20),"")</f>
        <v/>
      </c>
      <c r="H264" s="84">
        <f>IF(AND(INDEX(Klassenliste!$B$6:$B$40,16)&lt;&gt;0,NOT(OR(RB_Daten!G$3="",RB_Daten!G$3=0))),IF(RB_Daten!G$20="","",RB_Daten!G$20),"")</f>
        <v/>
      </c>
      <c r="I264" s="84">
        <f>IF(AND(INDEX(Klassenliste!$B$6:$B$40,16)&lt;&gt;0,NOT(OR(RB_Daten!H$3="",RB_Daten!H$3=0))),IF(RB_Daten!H$20="","",RB_Daten!H$20),"")</f>
        <v/>
      </c>
      <c r="J264" s="84">
        <f>IF(AND(INDEX(Klassenliste!$B$6:$B$40,16)&lt;&gt;0,NOT(OR(RB_Daten!I$3="",RB_Daten!I$3=0))),IF(RB_Daten!I$20="","",RB_Daten!I$20),"")</f>
        <v/>
      </c>
      <c r="K264" s="84">
        <f>IF(AND(INDEX(Klassenliste!$B$6:$B$40,16)&lt;&gt;0,NOT(OR(RB_Daten!J$3="",RB_Daten!J$3=0))),IF(RB_Daten!J$20="","",RB_Daten!J$20),"")</f>
        <v/>
      </c>
      <c r="L264" s="84">
        <f>IF(AND(INDEX(Klassenliste!$B$6:$B$40,16)&lt;&gt;0,NOT(OR(RB_Daten!K$3="",RB_Daten!K$3=0))),IF(RB_Daten!K$20="","",RB_Daten!K$20),"")</f>
        <v/>
      </c>
      <c r="M264" s="84">
        <f>IF(AND(INDEX(Klassenliste!$B$6:$B$40,16)&lt;&gt;0,NOT(OR(RB_Daten!L$3="",RB_Daten!L$3=0))),IF(RB_Daten!L$20="","",RB_Daten!L$20),"")</f>
        <v/>
      </c>
      <c r="N264" s="84">
        <f>IF(AND(INDEX(Klassenliste!$B$6:$B$40,16)&lt;&gt;0,NOT(OR(RB_Daten!M$3="",RB_Daten!M$3=0))),IF(RB_Daten!M$20="","",RB_Daten!M$20),"")</f>
        <v/>
      </c>
      <c r="O264" s="85">
        <f>IF(INDEX(Klassenliste!$B$6:$B$40,16)&lt;&gt;0,IF(RB_Daten!$N20="","",RB_Daten!$N20),"")</f>
        <v/>
      </c>
    </row>
    <row r="265" ht="10" customHeight="1">
      <c r="B265" s="76" t="n"/>
      <c r="O265" s="74" t="n"/>
    </row>
    <row r="266" ht="24" customHeight="1">
      <c r="B266" s="73">
        <f>IF(INDEX(Klassenliste!$B$6:$B$40,16)&lt;&gt;0,IF(RB_Daten!$O20="","Ergebnis: –","Ergebnis: "&amp;ROUND(RB_Daten!$O20*100,1)&amp;" %"),"")</f>
        <v/>
      </c>
      <c r="F266" s="86">
        <f>IF(INDEX(Klassenliste!$B$6:$B$40,16)&lt;&gt;0,IF(RB_Daten!$P20="","Punkte: –","Punkte: "&amp;RB_Daten!$P20&amp;"  ("&amp;RB_Daten!$Q20&amp;")"),"")</f>
        <v/>
      </c>
      <c r="O266" s="74" t="n"/>
    </row>
    <row r="267" ht="16" customHeight="1">
      <c r="B267" s="87">
        <f>IF(INDEX(Klassenliste!$B$6:$B$40,16)&lt;&gt;0,"Notenschlüssel:","")</f>
        <v/>
      </c>
      <c r="C267" s="46">
        <f>IF(INDEX(Klassenliste!$B$6:$B$40,16)&lt;&gt;0,"Note 1","")</f>
        <v/>
      </c>
      <c r="D267" s="46">
        <f>IF(INDEX(Klassenliste!$B$6:$B$40,16)&lt;&gt;0,"Note 2","")</f>
        <v/>
      </c>
      <c r="E267" s="46">
        <f>IF(INDEX(Klassenliste!$B$6:$B$40,16)&lt;&gt;0,"Note 3","")</f>
        <v/>
      </c>
      <c r="F267" s="46">
        <f>IF(INDEX(Klassenliste!$B$6:$B$40,16)&lt;&gt;0,"Note 4","")</f>
        <v/>
      </c>
      <c r="G267" s="46">
        <f>IF(INDEX(Klassenliste!$B$6:$B$40,16)&lt;&gt;0,"Note 5","")</f>
        <v/>
      </c>
      <c r="H267" s="46">
        <f>IF(INDEX(Klassenliste!$B$6:$B$40,16)&lt;&gt;0,"Note 6","")</f>
        <v/>
      </c>
      <c r="O267" s="74" t="n"/>
    </row>
    <row r="268" ht="16" customHeight="1">
      <c r="B268" s="87">
        <f>IF(INDEX(Klassenliste!$B$6:$B$40,16)&lt;&gt;0,"ab Punkten:","")</f>
        <v/>
      </c>
      <c r="C268" s="88">
        <f>IF(AND(INDEX(Klassenliste!$B$6:$B$40,16)&lt;&gt;0,RB_Daten!$A$4&lt;&gt;""),CEILING(Notentabelle!$C$17*RB_Daten!$A$4,0.5),"")</f>
        <v/>
      </c>
      <c r="D268" s="88">
        <f>IF(AND(INDEX(Klassenliste!$B$6:$B$40,16)&lt;&gt;0,RB_Daten!$A$4&lt;&gt;""),CEILING(Notentabelle!$C$14*RB_Daten!$A$4,0.5),"")</f>
        <v/>
      </c>
      <c r="E268" s="88">
        <f>IF(AND(INDEX(Klassenliste!$B$6:$B$40,16)&lt;&gt;0,RB_Daten!$A$4&lt;&gt;""),CEILING(Notentabelle!$C$11*RB_Daten!$A$4,0.5),"")</f>
        <v/>
      </c>
      <c r="F268" s="88">
        <f>IF(AND(INDEX(Klassenliste!$B$6:$B$40,16)&lt;&gt;0,RB_Daten!$A$4&lt;&gt;""),CEILING(Notentabelle!$C$8*RB_Daten!$A$4,0.5),"")</f>
        <v/>
      </c>
      <c r="G268" s="88">
        <f>IF(AND(INDEX(Klassenliste!$B$6:$B$40,16)&lt;&gt;0,RB_Daten!$A$4&lt;&gt;""),CEILING(Notentabelle!$C$5*RB_Daten!$A$4,0.5),"")</f>
        <v/>
      </c>
      <c r="H268" s="88">
        <f>IF(AND(INDEX(Klassenliste!$B$6:$B$40,16)&lt;&gt;0,RB_Daten!$A$4&lt;&gt;""),CEILING(0*RB_Daten!$A$4,0.5),"")</f>
        <v/>
      </c>
      <c r="O268" s="74" t="n"/>
    </row>
    <row r="269" ht="14" customHeight="1">
      <c r="B269" s="76" t="n"/>
      <c r="O269" s="74" t="n"/>
    </row>
    <row r="270" ht="110" customHeight="1">
      <c r="B270" s="89">
        <f>IF(INDEX(Klassenliste!$B$6:$B$40,16)&lt;&gt;0,"Lob / Hinweis:","")</f>
        <v/>
      </c>
      <c r="C270" s="90">
        <f>IF(INDEX(Klassenliste!$B$6:$B$40,16)&lt;&gt;0,RB_Daten!$R$20,"")</f>
        <v/>
      </c>
      <c r="D270" s="91" t="n"/>
      <c r="E270" s="91" t="n"/>
      <c r="F270" s="91" t="n"/>
      <c r="G270" s="91" t="n"/>
      <c r="H270" s="91" t="n"/>
      <c r="I270" s="91" t="n"/>
      <c r="J270" s="91" t="n"/>
      <c r="K270" s="91" t="n"/>
      <c r="L270" s="91" t="n"/>
      <c r="M270" s="91" t="n"/>
      <c r="N270" s="91" t="n"/>
      <c r="O270" s="74" t="n"/>
    </row>
    <row r="271" ht="22" customHeight="1">
      <c r="B271" s="87">
        <f>IF(INDEX(Klassenliste!$B$6:$B$40,16)&lt;&gt;0,"Unterschrift Erziehungsberechtigte/r:","")</f>
        <v/>
      </c>
      <c r="F271" s="92" t="n"/>
      <c r="G271" s="92" t="n"/>
      <c r="H271" s="92" t="n"/>
      <c r="I271" s="92" t="n"/>
      <c r="O271" s="74" t="n"/>
    </row>
    <row r="272" ht="8" customHeight="1">
      <c r="B272" s="93" t="n"/>
      <c r="C272" s="94" t="n"/>
      <c r="D272" s="94" t="n"/>
      <c r="E272" s="94" t="n"/>
      <c r="F272" s="94" t="n"/>
      <c r="G272" s="94" t="n"/>
      <c r="H272" s="94" t="n"/>
      <c r="I272" s="94" t="n"/>
      <c r="J272" s="94" t="n"/>
      <c r="K272" s="94" t="n"/>
      <c r="L272" s="94" t="n"/>
      <c r="M272" s="94" t="n"/>
      <c r="N272" s="94" t="n"/>
      <c r="O272" s="95" t="n"/>
    </row>
    <row r="273" ht="27.5" customHeight="1"/>
    <row r="274" ht="27.5" customHeight="1"/>
    <row r="275" ht="6" customHeight="1">
      <c r="B275" s="70" t="n"/>
      <c r="C275" s="71" t="n"/>
      <c r="D275" s="71" t="n"/>
      <c r="E275" s="71" t="n"/>
      <c r="F275" s="71" t="n"/>
      <c r="G275" s="71" t="n"/>
      <c r="H275" s="71" t="n"/>
      <c r="I275" s="71" t="n"/>
      <c r="J275" s="71" t="n"/>
      <c r="K275" s="71" t="n"/>
      <c r="L275" s="71" t="n"/>
      <c r="M275" s="71" t="n"/>
      <c r="N275" s="71" t="n"/>
      <c r="O275" s="72" t="n"/>
    </row>
    <row r="276" ht="20" customHeight="1">
      <c r="B276" s="73">
        <f>IF(INDEX(Klassenliste!$B$6:$B$40,17)&lt;&gt;0,"Klausur "&amp;$C$2&amp;" · "&amp;Klassenliste!$E$2&amp;" · "&amp;Klassenliste!$J$2&amp;IF(RB_Daten!$A$3="",""," · "&amp;RB_Daten!$A$3),"")</f>
        <v/>
      </c>
      <c r="J276" s="12">
        <f>IF(INDEX(Klassenliste!$B$6:$B$40,17)&lt;&gt;0,IF(RB_Daten!$A$2="","Datum: ______","Datum: "&amp;IFERROR(TEXT(RB_Daten!$A$2,"TT.MM.JJJJ"),RB_Daten!$A$2)),"")</f>
        <v/>
      </c>
      <c r="O276" s="74" t="n"/>
    </row>
    <row r="277" ht="20" customHeight="1">
      <c r="B277" s="75">
        <f>IF(INDEX(Klassenliste!$B$6:$B$40,17)&lt;&gt;0,"Name: "&amp;INDEX(Klassenliste!$C$6:$C$40,17)&amp;" "&amp;INDEX(Klassenliste!$B$6:$B$40,17),"")</f>
        <v/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74" t="n"/>
    </row>
    <row r="278" ht="8" customHeight="1">
      <c r="B278" s="76" t="n"/>
      <c r="O278" s="74" t="n"/>
    </row>
    <row r="279" ht="18" customHeight="1">
      <c r="B279" s="77">
        <f>IF(INDEX(Klassenliste!$B$6:$B$40,17)&lt;&gt;0,"Aufgabe","")</f>
        <v/>
      </c>
      <c r="C279" s="78">
        <f>IF(AND(INDEX(Klassenliste!$B$6:$B$40,17)&lt;&gt;0,NOT(OR(RB_Daten!B$3="",RB_Daten!B$3=0))),RB_Daten!B$2,"")</f>
        <v/>
      </c>
      <c r="D279" s="78">
        <f>IF(AND(INDEX(Klassenliste!$B$6:$B$40,17)&lt;&gt;0,NOT(OR(RB_Daten!C$3="",RB_Daten!C$3=0))),RB_Daten!C$2,"")</f>
        <v/>
      </c>
      <c r="E279" s="78">
        <f>IF(AND(INDEX(Klassenliste!$B$6:$B$40,17)&lt;&gt;0,NOT(OR(RB_Daten!D$3="",RB_Daten!D$3=0))),RB_Daten!D$2,"")</f>
        <v/>
      </c>
      <c r="F279" s="78">
        <f>IF(AND(INDEX(Klassenliste!$B$6:$B$40,17)&lt;&gt;0,NOT(OR(RB_Daten!E$3="",RB_Daten!E$3=0))),RB_Daten!E$2,"")</f>
        <v/>
      </c>
      <c r="G279" s="78">
        <f>IF(AND(INDEX(Klassenliste!$B$6:$B$40,17)&lt;&gt;0,NOT(OR(RB_Daten!F$3="",RB_Daten!F$3=0))),RB_Daten!F$2,"")</f>
        <v/>
      </c>
      <c r="H279" s="78">
        <f>IF(AND(INDEX(Klassenliste!$B$6:$B$40,17)&lt;&gt;0,NOT(OR(RB_Daten!G$3="",RB_Daten!G$3=0))),RB_Daten!G$2,"")</f>
        <v/>
      </c>
      <c r="I279" s="78">
        <f>IF(AND(INDEX(Klassenliste!$B$6:$B$40,17)&lt;&gt;0,NOT(OR(RB_Daten!H$3="",RB_Daten!H$3=0))),RB_Daten!H$2,"")</f>
        <v/>
      </c>
      <c r="J279" s="78">
        <f>IF(AND(INDEX(Klassenliste!$B$6:$B$40,17)&lt;&gt;0,NOT(OR(RB_Daten!I$3="",RB_Daten!I$3=0))),RB_Daten!I$2,"")</f>
        <v/>
      </c>
      <c r="K279" s="78">
        <f>IF(AND(INDEX(Klassenliste!$B$6:$B$40,17)&lt;&gt;0,NOT(OR(RB_Daten!J$3="",RB_Daten!J$3=0))),RB_Daten!J$2,"")</f>
        <v/>
      </c>
      <c r="L279" s="78">
        <f>IF(AND(INDEX(Klassenliste!$B$6:$B$40,17)&lt;&gt;0,NOT(OR(RB_Daten!K$3="",RB_Daten!K$3=0))),RB_Daten!K$2,"")</f>
        <v/>
      </c>
      <c r="M279" s="78">
        <f>IF(AND(INDEX(Klassenliste!$B$6:$B$40,17)&lt;&gt;0,NOT(OR(RB_Daten!L$3="",RB_Daten!L$3=0))),RB_Daten!L$2,"")</f>
        <v/>
      </c>
      <c r="N279" s="78">
        <f>IF(AND(INDEX(Klassenliste!$B$6:$B$40,17)&lt;&gt;0,NOT(OR(RB_Daten!M$3="",RB_Daten!M$3=0))),RB_Daten!M$2,"")</f>
        <v/>
      </c>
      <c r="O279" s="79">
        <f>IF(INDEX(Klassenliste!$B$6:$B$40,17)&lt;&gt;0,"Gesamt","")</f>
        <v/>
      </c>
    </row>
    <row r="280" ht="18" customHeight="1">
      <c r="B280" s="80">
        <f>IF(INDEX(Klassenliste!$B$6:$B$40,17)&lt;&gt;0,"max. Punkte","")</f>
        <v/>
      </c>
      <c r="C280" s="81">
        <f>IF(AND(INDEX(Klassenliste!$B$6:$B$40,17)&lt;&gt;0,NOT(OR(RB_Daten!B$3="",RB_Daten!B$3=0))),RB_Daten!B$3,"")</f>
        <v/>
      </c>
      <c r="D280" s="81">
        <f>IF(AND(INDEX(Klassenliste!$B$6:$B$40,17)&lt;&gt;0,NOT(OR(RB_Daten!C$3="",RB_Daten!C$3=0))),RB_Daten!C$3,"")</f>
        <v/>
      </c>
      <c r="E280" s="81">
        <f>IF(AND(INDEX(Klassenliste!$B$6:$B$40,17)&lt;&gt;0,NOT(OR(RB_Daten!D$3="",RB_Daten!D$3=0))),RB_Daten!D$3,"")</f>
        <v/>
      </c>
      <c r="F280" s="81">
        <f>IF(AND(INDEX(Klassenliste!$B$6:$B$40,17)&lt;&gt;0,NOT(OR(RB_Daten!E$3="",RB_Daten!E$3=0))),RB_Daten!E$3,"")</f>
        <v/>
      </c>
      <c r="G280" s="81">
        <f>IF(AND(INDEX(Klassenliste!$B$6:$B$40,17)&lt;&gt;0,NOT(OR(RB_Daten!F$3="",RB_Daten!F$3=0))),RB_Daten!F$3,"")</f>
        <v/>
      </c>
      <c r="H280" s="81">
        <f>IF(AND(INDEX(Klassenliste!$B$6:$B$40,17)&lt;&gt;0,NOT(OR(RB_Daten!G$3="",RB_Daten!G$3=0))),RB_Daten!G$3,"")</f>
        <v/>
      </c>
      <c r="I280" s="81">
        <f>IF(AND(INDEX(Klassenliste!$B$6:$B$40,17)&lt;&gt;0,NOT(OR(RB_Daten!H$3="",RB_Daten!H$3=0))),RB_Daten!H$3,"")</f>
        <v/>
      </c>
      <c r="J280" s="81">
        <f>IF(AND(INDEX(Klassenliste!$B$6:$B$40,17)&lt;&gt;0,NOT(OR(RB_Daten!I$3="",RB_Daten!I$3=0))),RB_Daten!I$3,"")</f>
        <v/>
      </c>
      <c r="K280" s="81">
        <f>IF(AND(INDEX(Klassenliste!$B$6:$B$40,17)&lt;&gt;0,NOT(OR(RB_Daten!J$3="",RB_Daten!J$3=0))),RB_Daten!J$3,"")</f>
        <v/>
      </c>
      <c r="L280" s="81">
        <f>IF(AND(INDEX(Klassenliste!$B$6:$B$40,17)&lt;&gt;0,NOT(OR(RB_Daten!K$3="",RB_Daten!K$3=0))),RB_Daten!K$3,"")</f>
        <v/>
      </c>
      <c r="M280" s="81">
        <f>IF(AND(INDEX(Klassenliste!$B$6:$B$40,17)&lt;&gt;0,NOT(OR(RB_Daten!L$3="",RB_Daten!L$3=0))),RB_Daten!L$3,"")</f>
        <v/>
      </c>
      <c r="N280" s="81">
        <f>IF(AND(INDEX(Klassenliste!$B$6:$B$40,17)&lt;&gt;0,NOT(OR(RB_Daten!M$3="",RB_Daten!M$3=0))),RB_Daten!M$3,"")</f>
        <v/>
      </c>
      <c r="O280" s="82">
        <f>IF(INDEX(Klassenliste!$B$6:$B$40,17)&lt;&gt;0,IF(RB_Daten!$A$4="","",RB_Daten!$A$4),"")</f>
        <v/>
      </c>
    </row>
    <row r="281" ht="18" customHeight="1">
      <c r="B281" s="83">
        <f>IF(INDEX(Klassenliste!$B$6:$B$40,17)&lt;&gt;0,"erreicht","")</f>
        <v/>
      </c>
      <c r="C281" s="84">
        <f>IF(AND(INDEX(Klassenliste!$B$6:$B$40,17)&lt;&gt;0,NOT(OR(RB_Daten!B$3="",RB_Daten!B$3=0))),IF(RB_Daten!B$21="","",RB_Daten!B$21),"")</f>
        <v/>
      </c>
      <c r="D281" s="84">
        <f>IF(AND(INDEX(Klassenliste!$B$6:$B$40,17)&lt;&gt;0,NOT(OR(RB_Daten!C$3="",RB_Daten!C$3=0))),IF(RB_Daten!C$21="","",RB_Daten!C$21),"")</f>
        <v/>
      </c>
      <c r="E281" s="84">
        <f>IF(AND(INDEX(Klassenliste!$B$6:$B$40,17)&lt;&gt;0,NOT(OR(RB_Daten!D$3="",RB_Daten!D$3=0))),IF(RB_Daten!D$21="","",RB_Daten!D$21),"")</f>
        <v/>
      </c>
      <c r="F281" s="84">
        <f>IF(AND(INDEX(Klassenliste!$B$6:$B$40,17)&lt;&gt;0,NOT(OR(RB_Daten!E$3="",RB_Daten!E$3=0))),IF(RB_Daten!E$21="","",RB_Daten!E$21),"")</f>
        <v/>
      </c>
      <c r="G281" s="84">
        <f>IF(AND(INDEX(Klassenliste!$B$6:$B$40,17)&lt;&gt;0,NOT(OR(RB_Daten!F$3="",RB_Daten!F$3=0))),IF(RB_Daten!F$21="","",RB_Daten!F$21),"")</f>
        <v/>
      </c>
      <c r="H281" s="84">
        <f>IF(AND(INDEX(Klassenliste!$B$6:$B$40,17)&lt;&gt;0,NOT(OR(RB_Daten!G$3="",RB_Daten!G$3=0))),IF(RB_Daten!G$21="","",RB_Daten!G$21),"")</f>
        <v/>
      </c>
      <c r="I281" s="84">
        <f>IF(AND(INDEX(Klassenliste!$B$6:$B$40,17)&lt;&gt;0,NOT(OR(RB_Daten!H$3="",RB_Daten!H$3=0))),IF(RB_Daten!H$21="","",RB_Daten!H$21),"")</f>
        <v/>
      </c>
      <c r="J281" s="84">
        <f>IF(AND(INDEX(Klassenliste!$B$6:$B$40,17)&lt;&gt;0,NOT(OR(RB_Daten!I$3="",RB_Daten!I$3=0))),IF(RB_Daten!I$21="","",RB_Daten!I$21),"")</f>
        <v/>
      </c>
      <c r="K281" s="84">
        <f>IF(AND(INDEX(Klassenliste!$B$6:$B$40,17)&lt;&gt;0,NOT(OR(RB_Daten!J$3="",RB_Daten!J$3=0))),IF(RB_Daten!J$21="","",RB_Daten!J$21),"")</f>
        <v/>
      </c>
      <c r="L281" s="84">
        <f>IF(AND(INDEX(Klassenliste!$B$6:$B$40,17)&lt;&gt;0,NOT(OR(RB_Daten!K$3="",RB_Daten!K$3=0))),IF(RB_Daten!K$21="","",RB_Daten!K$21),"")</f>
        <v/>
      </c>
      <c r="M281" s="84">
        <f>IF(AND(INDEX(Klassenliste!$B$6:$B$40,17)&lt;&gt;0,NOT(OR(RB_Daten!L$3="",RB_Daten!L$3=0))),IF(RB_Daten!L$21="","",RB_Daten!L$21),"")</f>
        <v/>
      </c>
      <c r="N281" s="84">
        <f>IF(AND(INDEX(Klassenliste!$B$6:$B$40,17)&lt;&gt;0,NOT(OR(RB_Daten!M$3="",RB_Daten!M$3=0))),IF(RB_Daten!M$21="","",RB_Daten!M$21),"")</f>
        <v/>
      </c>
      <c r="O281" s="85">
        <f>IF(INDEX(Klassenliste!$B$6:$B$40,17)&lt;&gt;0,IF(RB_Daten!$N21="","",RB_Daten!$N21),"")</f>
        <v/>
      </c>
    </row>
    <row r="282" ht="10" customHeight="1">
      <c r="B282" s="76" t="n"/>
      <c r="O282" s="74" t="n"/>
    </row>
    <row r="283" ht="24" customHeight="1">
      <c r="B283" s="73">
        <f>IF(INDEX(Klassenliste!$B$6:$B$40,17)&lt;&gt;0,IF(RB_Daten!$O21="","Ergebnis: –","Ergebnis: "&amp;ROUND(RB_Daten!$O21*100,1)&amp;" %"),"")</f>
        <v/>
      </c>
      <c r="F283" s="86">
        <f>IF(INDEX(Klassenliste!$B$6:$B$40,17)&lt;&gt;0,IF(RB_Daten!$P21="","Punkte: –","Punkte: "&amp;RB_Daten!$P21&amp;"  ("&amp;RB_Daten!$Q21&amp;")"),"")</f>
        <v/>
      </c>
      <c r="O283" s="74" t="n"/>
    </row>
    <row r="284" ht="16" customHeight="1">
      <c r="B284" s="87">
        <f>IF(INDEX(Klassenliste!$B$6:$B$40,17)&lt;&gt;0,"Notenschlüssel:","")</f>
        <v/>
      </c>
      <c r="C284" s="46">
        <f>IF(INDEX(Klassenliste!$B$6:$B$40,17)&lt;&gt;0,"Note 1","")</f>
        <v/>
      </c>
      <c r="D284" s="46">
        <f>IF(INDEX(Klassenliste!$B$6:$B$40,17)&lt;&gt;0,"Note 2","")</f>
        <v/>
      </c>
      <c r="E284" s="46">
        <f>IF(INDEX(Klassenliste!$B$6:$B$40,17)&lt;&gt;0,"Note 3","")</f>
        <v/>
      </c>
      <c r="F284" s="46">
        <f>IF(INDEX(Klassenliste!$B$6:$B$40,17)&lt;&gt;0,"Note 4","")</f>
        <v/>
      </c>
      <c r="G284" s="46">
        <f>IF(INDEX(Klassenliste!$B$6:$B$40,17)&lt;&gt;0,"Note 5","")</f>
        <v/>
      </c>
      <c r="H284" s="46">
        <f>IF(INDEX(Klassenliste!$B$6:$B$40,17)&lt;&gt;0,"Note 6","")</f>
        <v/>
      </c>
      <c r="O284" s="74" t="n"/>
    </row>
    <row r="285" ht="16" customHeight="1">
      <c r="B285" s="87">
        <f>IF(INDEX(Klassenliste!$B$6:$B$40,17)&lt;&gt;0,"ab Punkten:","")</f>
        <v/>
      </c>
      <c r="C285" s="88">
        <f>IF(AND(INDEX(Klassenliste!$B$6:$B$40,17)&lt;&gt;0,RB_Daten!$A$4&lt;&gt;""),CEILING(Notentabelle!$C$17*RB_Daten!$A$4,0.5),"")</f>
        <v/>
      </c>
      <c r="D285" s="88">
        <f>IF(AND(INDEX(Klassenliste!$B$6:$B$40,17)&lt;&gt;0,RB_Daten!$A$4&lt;&gt;""),CEILING(Notentabelle!$C$14*RB_Daten!$A$4,0.5),"")</f>
        <v/>
      </c>
      <c r="E285" s="88">
        <f>IF(AND(INDEX(Klassenliste!$B$6:$B$40,17)&lt;&gt;0,RB_Daten!$A$4&lt;&gt;""),CEILING(Notentabelle!$C$11*RB_Daten!$A$4,0.5),"")</f>
        <v/>
      </c>
      <c r="F285" s="88">
        <f>IF(AND(INDEX(Klassenliste!$B$6:$B$40,17)&lt;&gt;0,RB_Daten!$A$4&lt;&gt;""),CEILING(Notentabelle!$C$8*RB_Daten!$A$4,0.5),"")</f>
        <v/>
      </c>
      <c r="G285" s="88">
        <f>IF(AND(INDEX(Klassenliste!$B$6:$B$40,17)&lt;&gt;0,RB_Daten!$A$4&lt;&gt;""),CEILING(Notentabelle!$C$5*RB_Daten!$A$4,0.5),"")</f>
        <v/>
      </c>
      <c r="H285" s="88">
        <f>IF(AND(INDEX(Klassenliste!$B$6:$B$40,17)&lt;&gt;0,RB_Daten!$A$4&lt;&gt;""),CEILING(0*RB_Daten!$A$4,0.5),"")</f>
        <v/>
      </c>
      <c r="O285" s="74" t="n"/>
    </row>
    <row r="286" ht="14" customHeight="1">
      <c r="B286" s="76" t="n"/>
      <c r="O286" s="74" t="n"/>
    </row>
    <row r="287" ht="110" customHeight="1">
      <c r="B287" s="89">
        <f>IF(INDEX(Klassenliste!$B$6:$B$40,17)&lt;&gt;0,"Lob / Hinweis:","")</f>
        <v/>
      </c>
      <c r="C287" s="90">
        <f>IF(INDEX(Klassenliste!$B$6:$B$40,17)&lt;&gt;0,RB_Daten!$R$21,"")</f>
        <v/>
      </c>
      <c r="D287" s="91" t="n"/>
      <c r="E287" s="91" t="n"/>
      <c r="F287" s="91" t="n"/>
      <c r="G287" s="91" t="n"/>
      <c r="H287" s="91" t="n"/>
      <c r="I287" s="91" t="n"/>
      <c r="J287" s="91" t="n"/>
      <c r="K287" s="91" t="n"/>
      <c r="L287" s="91" t="n"/>
      <c r="M287" s="91" t="n"/>
      <c r="N287" s="91" t="n"/>
      <c r="O287" s="74" t="n"/>
    </row>
    <row r="288" ht="22" customHeight="1">
      <c r="B288" s="87">
        <f>IF(INDEX(Klassenliste!$B$6:$B$40,17)&lt;&gt;0,"Unterschrift Erziehungsberechtigte/r:","")</f>
        <v/>
      </c>
      <c r="F288" s="92" t="n"/>
      <c r="G288" s="92" t="n"/>
      <c r="H288" s="92" t="n"/>
      <c r="I288" s="92" t="n"/>
      <c r="O288" s="74" t="n"/>
    </row>
    <row r="289" ht="8" customHeight="1">
      <c r="B289" s="93" t="n"/>
      <c r="C289" s="94" t="n"/>
      <c r="D289" s="94" t="n"/>
      <c r="E289" s="94" t="n"/>
      <c r="F289" s="94" t="n"/>
      <c r="G289" s="94" t="n"/>
      <c r="H289" s="94" t="n"/>
      <c r="I289" s="94" t="n"/>
      <c r="J289" s="94" t="n"/>
      <c r="K289" s="94" t="n"/>
      <c r="L289" s="94" t="n"/>
      <c r="M289" s="94" t="n"/>
      <c r="N289" s="94" t="n"/>
      <c r="O289" s="95" t="n"/>
    </row>
    <row r="290" ht="27.5" customHeight="1"/>
    <row r="291" ht="27.5" customHeight="1"/>
    <row r="292" ht="6" customHeight="1">
      <c r="B292" s="70" t="n"/>
      <c r="C292" s="71" t="n"/>
      <c r="D292" s="71" t="n"/>
      <c r="E292" s="71" t="n"/>
      <c r="F292" s="71" t="n"/>
      <c r="G292" s="71" t="n"/>
      <c r="H292" s="71" t="n"/>
      <c r="I292" s="71" t="n"/>
      <c r="J292" s="71" t="n"/>
      <c r="K292" s="71" t="n"/>
      <c r="L292" s="71" t="n"/>
      <c r="M292" s="71" t="n"/>
      <c r="N292" s="71" t="n"/>
      <c r="O292" s="72" t="n"/>
    </row>
    <row r="293" ht="20" customHeight="1">
      <c r="B293" s="73">
        <f>IF(INDEX(Klassenliste!$B$6:$B$40,18)&lt;&gt;0,"Klausur "&amp;$C$2&amp;" · "&amp;Klassenliste!$E$2&amp;" · "&amp;Klassenliste!$J$2&amp;IF(RB_Daten!$A$3="",""," · "&amp;RB_Daten!$A$3),"")</f>
        <v/>
      </c>
      <c r="J293" s="12">
        <f>IF(INDEX(Klassenliste!$B$6:$B$40,18)&lt;&gt;0,IF(RB_Daten!$A$2="","Datum: ______","Datum: "&amp;IFERROR(TEXT(RB_Daten!$A$2,"TT.MM.JJJJ"),RB_Daten!$A$2)),"")</f>
        <v/>
      </c>
      <c r="O293" s="74" t="n"/>
    </row>
    <row r="294" ht="20" customHeight="1">
      <c r="B294" s="75">
        <f>IF(INDEX(Klassenliste!$B$6:$B$40,18)&lt;&gt;0,"Name: "&amp;INDEX(Klassenliste!$C$6:$C$40,18)&amp;" "&amp;INDEX(Klassenliste!$B$6:$B$40,18),"")</f>
        <v/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74" t="n"/>
    </row>
    <row r="295" ht="8" customHeight="1">
      <c r="B295" s="76" t="n"/>
      <c r="O295" s="74" t="n"/>
    </row>
    <row r="296" ht="18" customHeight="1">
      <c r="B296" s="77">
        <f>IF(INDEX(Klassenliste!$B$6:$B$40,18)&lt;&gt;0,"Aufgabe","")</f>
        <v/>
      </c>
      <c r="C296" s="78">
        <f>IF(AND(INDEX(Klassenliste!$B$6:$B$40,18)&lt;&gt;0,NOT(OR(RB_Daten!B$3="",RB_Daten!B$3=0))),RB_Daten!B$2,"")</f>
        <v/>
      </c>
      <c r="D296" s="78">
        <f>IF(AND(INDEX(Klassenliste!$B$6:$B$40,18)&lt;&gt;0,NOT(OR(RB_Daten!C$3="",RB_Daten!C$3=0))),RB_Daten!C$2,"")</f>
        <v/>
      </c>
      <c r="E296" s="78">
        <f>IF(AND(INDEX(Klassenliste!$B$6:$B$40,18)&lt;&gt;0,NOT(OR(RB_Daten!D$3="",RB_Daten!D$3=0))),RB_Daten!D$2,"")</f>
        <v/>
      </c>
      <c r="F296" s="78">
        <f>IF(AND(INDEX(Klassenliste!$B$6:$B$40,18)&lt;&gt;0,NOT(OR(RB_Daten!E$3="",RB_Daten!E$3=0))),RB_Daten!E$2,"")</f>
        <v/>
      </c>
      <c r="G296" s="78">
        <f>IF(AND(INDEX(Klassenliste!$B$6:$B$40,18)&lt;&gt;0,NOT(OR(RB_Daten!F$3="",RB_Daten!F$3=0))),RB_Daten!F$2,"")</f>
        <v/>
      </c>
      <c r="H296" s="78">
        <f>IF(AND(INDEX(Klassenliste!$B$6:$B$40,18)&lt;&gt;0,NOT(OR(RB_Daten!G$3="",RB_Daten!G$3=0))),RB_Daten!G$2,"")</f>
        <v/>
      </c>
      <c r="I296" s="78">
        <f>IF(AND(INDEX(Klassenliste!$B$6:$B$40,18)&lt;&gt;0,NOT(OR(RB_Daten!H$3="",RB_Daten!H$3=0))),RB_Daten!H$2,"")</f>
        <v/>
      </c>
      <c r="J296" s="78">
        <f>IF(AND(INDEX(Klassenliste!$B$6:$B$40,18)&lt;&gt;0,NOT(OR(RB_Daten!I$3="",RB_Daten!I$3=0))),RB_Daten!I$2,"")</f>
        <v/>
      </c>
      <c r="K296" s="78">
        <f>IF(AND(INDEX(Klassenliste!$B$6:$B$40,18)&lt;&gt;0,NOT(OR(RB_Daten!J$3="",RB_Daten!J$3=0))),RB_Daten!J$2,"")</f>
        <v/>
      </c>
      <c r="L296" s="78">
        <f>IF(AND(INDEX(Klassenliste!$B$6:$B$40,18)&lt;&gt;0,NOT(OR(RB_Daten!K$3="",RB_Daten!K$3=0))),RB_Daten!K$2,"")</f>
        <v/>
      </c>
      <c r="M296" s="78">
        <f>IF(AND(INDEX(Klassenliste!$B$6:$B$40,18)&lt;&gt;0,NOT(OR(RB_Daten!L$3="",RB_Daten!L$3=0))),RB_Daten!L$2,"")</f>
        <v/>
      </c>
      <c r="N296" s="78">
        <f>IF(AND(INDEX(Klassenliste!$B$6:$B$40,18)&lt;&gt;0,NOT(OR(RB_Daten!M$3="",RB_Daten!M$3=0))),RB_Daten!M$2,"")</f>
        <v/>
      </c>
      <c r="O296" s="79">
        <f>IF(INDEX(Klassenliste!$B$6:$B$40,18)&lt;&gt;0,"Gesamt","")</f>
        <v/>
      </c>
    </row>
    <row r="297" ht="18" customHeight="1">
      <c r="B297" s="80">
        <f>IF(INDEX(Klassenliste!$B$6:$B$40,18)&lt;&gt;0,"max. Punkte","")</f>
        <v/>
      </c>
      <c r="C297" s="81">
        <f>IF(AND(INDEX(Klassenliste!$B$6:$B$40,18)&lt;&gt;0,NOT(OR(RB_Daten!B$3="",RB_Daten!B$3=0))),RB_Daten!B$3,"")</f>
        <v/>
      </c>
      <c r="D297" s="81">
        <f>IF(AND(INDEX(Klassenliste!$B$6:$B$40,18)&lt;&gt;0,NOT(OR(RB_Daten!C$3="",RB_Daten!C$3=0))),RB_Daten!C$3,"")</f>
        <v/>
      </c>
      <c r="E297" s="81">
        <f>IF(AND(INDEX(Klassenliste!$B$6:$B$40,18)&lt;&gt;0,NOT(OR(RB_Daten!D$3="",RB_Daten!D$3=0))),RB_Daten!D$3,"")</f>
        <v/>
      </c>
      <c r="F297" s="81">
        <f>IF(AND(INDEX(Klassenliste!$B$6:$B$40,18)&lt;&gt;0,NOT(OR(RB_Daten!E$3="",RB_Daten!E$3=0))),RB_Daten!E$3,"")</f>
        <v/>
      </c>
      <c r="G297" s="81">
        <f>IF(AND(INDEX(Klassenliste!$B$6:$B$40,18)&lt;&gt;0,NOT(OR(RB_Daten!F$3="",RB_Daten!F$3=0))),RB_Daten!F$3,"")</f>
        <v/>
      </c>
      <c r="H297" s="81">
        <f>IF(AND(INDEX(Klassenliste!$B$6:$B$40,18)&lt;&gt;0,NOT(OR(RB_Daten!G$3="",RB_Daten!G$3=0))),RB_Daten!G$3,"")</f>
        <v/>
      </c>
      <c r="I297" s="81">
        <f>IF(AND(INDEX(Klassenliste!$B$6:$B$40,18)&lt;&gt;0,NOT(OR(RB_Daten!H$3="",RB_Daten!H$3=0))),RB_Daten!H$3,"")</f>
        <v/>
      </c>
      <c r="J297" s="81">
        <f>IF(AND(INDEX(Klassenliste!$B$6:$B$40,18)&lt;&gt;0,NOT(OR(RB_Daten!I$3="",RB_Daten!I$3=0))),RB_Daten!I$3,"")</f>
        <v/>
      </c>
      <c r="K297" s="81">
        <f>IF(AND(INDEX(Klassenliste!$B$6:$B$40,18)&lt;&gt;0,NOT(OR(RB_Daten!J$3="",RB_Daten!J$3=0))),RB_Daten!J$3,"")</f>
        <v/>
      </c>
      <c r="L297" s="81">
        <f>IF(AND(INDEX(Klassenliste!$B$6:$B$40,18)&lt;&gt;0,NOT(OR(RB_Daten!K$3="",RB_Daten!K$3=0))),RB_Daten!K$3,"")</f>
        <v/>
      </c>
      <c r="M297" s="81">
        <f>IF(AND(INDEX(Klassenliste!$B$6:$B$40,18)&lt;&gt;0,NOT(OR(RB_Daten!L$3="",RB_Daten!L$3=0))),RB_Daten!L$3,"")</f>
        <v/>
      </c>
      <c r="N297" s="81">
        <f>IF(AND(INDEX(Klassenliste!$B$6:$B$40,18)&lt;&gt;0,NOT(OR(RB_Daten!M$3="",RB_Daten!M$3=0))),RB_Daten!M$3,"")</f>
        <v/>
      </c>
      <c r="O297" s="82">
        <f>IF(INDEX(Klassenliste!$B$6:$B$40,18)&lt;&gt;0,IF(RB_Daten!$A$4="","",RB_Daten!$A$4),"")</f>
        <v/>
      </c>
    </row>
    <row r="298" ht="18" customHeight="1">
      <c r="B298" s="83">
        <f>IF(INDEX(Klassenliste!$B$6:$B$40,18)&lt;&gt;0,"erreicht","")</f>
        <v/>
      </c>
      <c r="C298" s="84">
        <f>IF(AND(INDEX(Klassenliste!$B$6:$B$40,18)&lt;&gt;0,NOT(OR(RB_Daten!B$3="",RB_Daten!B$3=0))),IF(RB_Daten!B$22="","",RB_Daten!B$22),"")</f>
        <v/>
      </c>
      <c r="D298" s="84">
        <f>IF(AND(INDEX(Klassenliste!$B$6:$B$40,18)&lt;&gt;0,NOT(OR(RB_Daten!C$3="",RB_Daten!C$3=0))),IF(RB_Daten!C$22="","",RB_Daten!C$22),"")</f>
        <v/>
      </c>
      <c r="E298" s="84">
        <f>IF(AND(INDEX(Klassenliste!$B$6:$B$40,18)&lt;&gt;0,NOT(OR(RB_Daten!D$3="",RB_Daten!D$3=0))),IF(RB_Daten!D$22="","",RB_Daten!D$22),"")</f>
        <v/>
      </c>
      <c r="F298" s="84">
        <f>IF(AND(INDEX(Klassenliste!$B$6:$B$40,18)&lt;&gt;0,NOT(OR(RB_Daten!E$3="",RB_Daten!E$3=0))),IF(RB_Daten!E$22="","",RB_Daten!E$22),"")</f>
        <v/>
      </c>
      <c r="G298" s="84">
        <f>IF(AND(INDEX(Klassenliste!$B$6:$B$40,18)&lt;&gt;0,NOT(OR(RB_Daten!F$3="",RB_Daten!F$3=0))),IF(RB_Daten!F$22="","",RB_Daten!F$22),"")</f>
        <v/>
      </c>
      <c r="H298" s="84">
        <f>IF(AND(INDEX(Klassenliste!$B$6:$B$40,18)&lt;&gt;0,NOT(OR(RB_Daten!G$3="",RB_Daten!G$3=0))),IF(RB_Daten!G$22="","",RB_Daten!G$22),"")</f>
        <v/>
      </c>
      <c r="I298" s="84">
        <f>IF(AND(INDEX(Klassenliste!$B$6:$B$40,18)&lt;&gt;0,NOT(OR(RB_Daten!H$3="",RB_Daten!H$3=0))),IF(RB_Daten!H$22="","",RB_Daten!H$22),"")</f>
        <v/>
      </c>
      <c r="J298" s="84">
        <f>IF(AND(INDEX(Klassenliste!$B$6:$B$40,18)&lt;&gt;0,NOT(OR(RB_Daten!I$3="",RB_Daten!I$3=0))),IF(RB_Daten!I$22="","",RB_Daten!I$22),"")</f>
        <v/>
      </c>
      <c r="K298" s="84">
        <f>IF(AND(INDEX(Klassenliste!$B$6:$B$40,18)&lt;&gt;0,NOT(OR(RB_Daten!J$3="",RB_Daten!J$3=0))),IF(RB_Daten!J$22="","",RB_Daten!J$22),"")</f>
        <v/>
      </c>
      <c r="L298" s="84">
        <f>IF(AND(INDEX(Klassenliste!$B$6:$B$40,18)&lt;&gt;0,NOT(OR(RB_Daten!K$3="",RB_Daten!K$3=0))),IF(RB_Daten!K$22="","",RB_Daten!K$22),"")</f>
        <v/>
      </c>
      <c r="M298" s="84">
        <f>IF(AND(INDEX(Klassenliste!$B$6:$B$40,18)&lt;&gt;0,NOT(OR(RB_Daten!L$3="",RB_Daten!L$3=0))),IF(RB_Daten!L$22="","",RB_Daten!L$22),"")</f>
        <v/>
      </c>
      <c r="N298" s="84">
        <f>IF(AND(INDEX(Klassenliste!$B$6:$B$40,18)&lt;&gt;0,NOT(OR(RB_Daten!M$3="",RB_Daten!M$3=0))),IF(RB_Daten!M$22="","",RB_Daten!M$22),"")</f>
        <v/>
      </c>
      <c r="O298" s="85">
        <f>IF(INDEX(Klassenliste!$B$6:$B$40,18)&lt;&gt;0,IF(RB_Daten!$N22="","",RB_Daten!$N22),"")</f>
        <v/>
      </c>
    </row>
    <row r="299" ht="10" customHeight="1">
      <c r="B299" s="76" t="n"/>
      <c r="O299" s="74" t="n"/>
    </row>
    <row r="300" ht="24" customHeight="1">
      <c r="B300" s="73">
        <f>IF(INDEX(Klassenliste!$B$6:$B$40,18)&lt;&gt;0,IF(RB_Daten!$O22="","Ergebnis: –","Ergebnis: "&amp;ROUND(RB_Daten!$O22*100,1)&amp;" %"),"")</f>
        <v/>
      </c>
      <c r="F300" s="86">
        <f>IF(INDEX(Klassenliste!$B$6:$B$40,18)&lt;&gt;0,IF(RB_Daten!$P22="","Punkte: –","Punkte: "&amp;RB_Daten!$P22&amp;"  ("&amp;RB_Daten!$Q22&amp;")"),"")</f>
        <v/>
      </c>
      <c r="O300" s="74" t="n"/>
    </row>
    <row r="301" ht="16" customHeight="1">
      <c r="B301" s="87">
        <f>IF(INDEX(Klassenliste!$B$6:$B$40,18)&lt;&gt;0,"Notenschlüssel:","")</f>
        <v/>
      </c>
      <c r="C301" s="46">
        <f>IF(INDEX(Klassenliste!$B$6:$B$40,18)&lt;&gt;0,"Note 1","")</f>
        <v/>
      </c>
      <c r="D301" s="46">
        <f>IF(INDEX(Klassenliste!$B$6:$B$40,18)&lt;&gt;0,"Note 2","")</f>
        <v/>
      </c>
      <c r="E301" s="46">
        <f>IF(INDEX(Klassenliste!$B$6:$B$40,18)&lt;&gt;0,"Note 3","")</f>
        <v/>
      </c>
      <c r="F301" s="46">
        <f>IF(INDEX(Klassenliste!$B$6:$B$40,18)&lt;&gt;0,"Note 4","")</f>
        <v/>
      </c>
      <c r="G301" s="46">
        <f>IF(INDEX(Klassenliste!$B$6:$B$40,18)&lt;&gt;0,"Note 5","")</f>
        <v/>
      </c>
      <c r="H301" s="46">
        <f>IF(INDEX(Klassenliste!$B$6:$B$40,18)&lt;&gt;0,"Note 6","")</f>
        <v/>
      </c>
      <c r="O301" s="74" t="n"/>
    </row>
    <row r="302" ht="16" customHeight="1">
      <c r="B302" s="87">
        <f>IF(INDEX(Klassenliste!$B$6:$B$40,18)&lt;&gt;0,"ab Punkten:","")</f>
        <v/>
      </c>
      <c r="C302" s="88">
        <f>IF(AND(INDEX(Klassenliste!$B$6:$B$40,18)&lt;&gt;0,RB_Daten!$A$4&lt;&gt;""),CEILING(Notentabelle!$C$17*RB_Daten!$A$4,0.5),"")</f>
        <v/>
      </c>
      <c r="D302" s="88">
        <f>IF(AND(INDEX(Klassenliste!$B$6:$B$40,18)&lt;&gt;0,RB_Daten!$A$4&lt;&gt;""),CEILING(Notentabelle!$C$14*RB_Daten!$A$4,0.5),"")</f>
        <v/>
      </c>
      <c r="E302" s="88">
        <f>IF(AND(INDEX(Klassenliste!$B$6:$B$40,18)&lt;&gt;0,RB_Daten!$A$4&lt;&gt;""),CEILING(Notentabelle!$C$11*RB_Daten!$A$4,0.5),"")</f>
        <v/>
      </c>
      <c r="F302" s="88">
        <f>IF(AND(INDEX(Klassenliste!$B$6:$B$40,18)&lt;&gt;0,RB_Daten!$A$4&lt;&gt;""),CEILING(Notentabelle!$C$8*RB_Daten!$A$4,0.5),"")</f>
        <v/>
      </c>
      <c r="G302" s="88">
        <f>IF(AND(INDEX(Klassenliste!$B$6:$B$40,18)&lt;&gt;0,RB_Daten!$A$4&lt;&gt;""),CEILING(Notentabelle!$C$5*RB_Daten!$A$4,0.5),"")</f>
        <v/>
      </c>
      <c r="H302" s="88">
        <f>IF(AND(INDEX(Klassenliste!$B$6:$B$40,18)&lt;&gt;0,RB_Daten!$A$4&lt;&gt;""),CEILING(0*RB_Daten!$A$4,0.5),"")</f>
        <v/>
      </c>
      <c r="O302" s="74" t="n"/>
    </row>
    <row r="303" ht="14" customHeight="1">
      <c r="B303" s="76" t="n"/>
      <c r="O303" s="74" t="n"/>
    </row>
    <row r="304" ht="110" customHeight="1">
      <c r="B304" s="89">
        <f>IF(INDEX(Klassenliste!$B$6:$B$40,18)&lt;&gt;0,"Lob / Hinweis:","")</f>
        <v/>
      </c>
      <c r="C304" s="90">
        <f>IF(INDEX(Klassenliste!$B$6:$B$40,18)&lt;&gt;0,RB_Daten!$R$22,"")</f>
        <v/>
      </c>
      <c r="D304" s="91" t="n"/>
      <c r="E304" s="91" t="n"/>
      <c r="F304" s="91" t="n"/>
      <c r="G304" s="91" t="n"/>
      <c r="H304" s="91" t="n"/>
      <c r="I304" s="91" t="n"/>
      <c r="J304" s="91" t="n"/>
      <c r="K304" s="91" t="n"/>
      <c r="L304" s="91" t="n"/>
      <c r="M304" s="91" t="n"/>
      <c r="N304" s="91" t="n"/>
      <c r="O304" s="74" t="n"/>
    </row>
    <row r="305" ht="22" customHeight="1">
      <c r="B305" s="87">
        <f>IF(INDEX(Klassenliste!$B$6:$B$40,18)&lt;&gt;0,"Unterschrift Erziehungsberechtigte/r:","")</f>
        <v/>
      </c>
      <c r="F305" s="92" t="n"/>
      <c r="G305" s="92" t="n"/>
      <c r="H305" s="92" t="n"/>
      <c r="I305" s="92" t="n"/>
      <c r="O305" s="74" t="n"/>
    </row>
    <row r="306" ht="8" customHeight="1">
      <c r="B306" s="93" t="n"/>
      <c r="C306" s="94" t="n"/>
      <c r="D306" s="94" t="n"/>
      <c r="E306" s="94" t="n"/>
      <c r="F306" s="94" t="n"/>
      <c r="G306" s="94" t="n"/>
      <c r="H306" s="94" t="n"/>
      <c r="I306" s="94" t="n"/>
      <c r="J306" s="94" t="n"/>
      <c r="K306" s="94" t="n"/>
      <c r="L306" s="94" t="n"/>
      <c r="M306" s="94" t="n"/>
      <c r="N306" s="94" t="n"/>
      <c r="O306" s="95" t="n"/>
    </row>
    <row r="307" ht="27.5" customHeight="1"/>
    <row r="308" ht="27.5" customHeight="1"/>
    <row r="309" ht="6" customHeight="1">
      <c r="B309" s="70" t="n"/>
      <c r="C309" s="71" t="n"/>
      <c r="D309" s="71" t="n"/>
      <c r="E309" s="71" t="n"/>
      <c r="F309" s="71" t="n"/>
      <c r="G309" s="71" t="n"/>
      <c r="H309" s="71" t="n"/>
      <c r="I309" s="71" t="n"/>
      <c r="J309" s="71" t="n"/>
      <c r="K309" s="71" t="n"/>
      <c r="L309" s="71" t="n"/>
      <c r="M309" s="71" t="n"/>
      <c r="N309" s="71" t="n"/>
      <c r="O309" s="72" t="n"/>
    </row>
    <row r="310" ht="20" customHeight="1">
      <c r="B310" s="73">
        <f>IF(INDEX(Klassenliste!$B$6:$B$40,19)&lt;&gt;0,"Klausur "&amp;$C$2&amp;" · "&amp;Klassenliste!$E$2&amp;" · "&amp;Klassenliste!$J$2&amp;IF(RB_Daten!$A$3="",""," · "&amp;RB_Daten!$A$3),"")</f>
        <v/>
      </c>
      <c r="J310" s="12">
        <f>IF(INDEX(Klassenliste!$B$6:$B$40,19)&lt;&gt;0,IF(RB_Daten!$A$2="","Datum: ______","Datum: "&amp;IFERROR(TEXT(RB_Daten!$A$2,"TT.MM.JJJJ"),RB_Daten!$A$2)),"")</f>
        <v/>
      </c>
      <c r="O310" s="74" t="n"/>
    </row>
    <row r="311" ht="20" customHeight="1">
      <c r="B311" s="75">
        <f>IF(INDEX(Klassenliste!$B$6:$B$40,19)&lt;&gt;0,"Name: "&amp;INDEX(Klassenliste!$C$6:$C$40,19)&amp;" "&amp;INDEX(Klassenliste!$B$6:$B$40,19),"")</f>
        <v/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74" t="n"/>
    </row>
    <row r="312" ht="8" customHeight="1">
      <c r="B312" s="76" t="n"/>
      <c r="O312" s="74" t="n"/>
    </row>
    <row r="313" ht="18" customHeight="1">
      <c r="B313" s="77">
        <f>IF(INDEX(Klassenliste!$B$6:$B$40,19)&lt;&gt;0,"Aufgabe","")</f>
        <v/>
      </c>
      <c r="C313" s="78">
        <f>IF(AND(INDEX(Klassenliste!$B$6:$B$40,19)&lt;&gt;0,NOT(OR(RB_Daten!B$3="",RB_Daten!B$3=0))),RB_Daten!B$2,"")</f>
        <v/>
      </c>
      <c r="D313" s="78">
        <f>IF(AND(INDEX(Klassenliste!$B$6:$B$40,19)&lt;&gt;0,NOT(OR(RB_Daten!C$3="",RB_Daten!C$3=0))),RB_Daten!C$2,"")</f>
        <v/>
      </c>
      <c r="E313" s="78">
        <f>IF(AND(INDEX(Klassenliste!$B$6:$B$40,19)&lt;&gt;0,NOT(OR(RB_Daten!D$3="",RB_Daten!D$3=0))),RB_Daten!D$2,"")</f>
        <v/>
      </c>
      <c r="F313" s="78">
        <f>IF(AND(INDEX(Klassenliste!$B$6:$B$40,19)&lt;&gt;0,NOT(OR(RB_Daten!E$3="",RB_Daten!E$3=0))),RB_Daten!E$2,"")</f>
        <v/>
      </c>
      <c r="G313" s="78">
        <f>IF(AND(INDEX(Klassenliste!$B$6:$B$40,19)&lt;&gt;0,NOT(OR(RB_Daten!F$3="",RB_Daten!F$3=0))),RB_Daten!F$2,"")</f>
        <v/>
      </c>
      <c r="H313" s="78">
        <f>IF(AND(INDEX(Klassenliste!$B$6:$B$40,19)&lt;&gt;0,NOT(OR(RB_Daten!G$3="",RB_Daten!G$3=0))),RB_Daten!G$2,"")</f>
        <v/>
      </c>
      <c r="I313" s="78">
        <f>IF(AND(INDEX(Klassenliste!$B$6:$B$40,19)&lt;&gt;0,NOT(OR(RB_Daten!H$3="",RB_Daten!H$3=0))),RB_Daten!H$2,"")</f>
        <v/>
      </c>
      <c r="J313" s="78">
        <f>IF(AND(INDEX(Klassenliste!$B$6:$B$40,19)&lt;&gt;0,NOT(OR(RB_Daten!I$3="",RB_Daten!I$3=0))),RB_Daten!I$2,"")</f>
        <v/>
      </c>
      <c r="K313" s="78">
        <f>IF(AND(INDEX(Klassenliste!$B$6:$B$40,19)&lt;&gt;0,NOT(OR(RB_Daten!J$3="",RB_Daten!J$3=0))),RB_Daten!J$2,"")</f>
        <v/>
      </c>
      <c r="L313" s="78">
        <f>IF(AND(INDEX(Klassenliste!$B$6:$B$40,19)&lt;&gt;0,NOT(OR(RB_Daten!K$3="",RB_Daten!K$3=0))),RB_Daten!K$2,"")</f>
        <v/>
      </c>
      <c r="M313" s="78">
        <f>IF(AND(INDEX(Klassenliste!$B$6:$B$40,19)&lt;&gt;0,NOT(OR(RB_Daten!L$3="",RB_Daten!L$3=0))),RB_Daten!L$2,"")</f>
        <v/>
      </c>
      <c r="N313" s="78">
        <f>IF(AND(INDEX(Klassenliste!$B$6:$B$40,19)&lt;&gt;0,NOT(OR(RB_Daten!M$3="",RB_Daten!M$3=0))),RB_Daten!M$2,"")</f>
        <v/>
      </c>
      <c r="O313" s="79">
        <f>IF(INDEX(Klassenliste!$B$6:$B$40,19)&lt;&gt;0,"Gesamt","")</f>
        <v/>
      </c>
    </row>
    <row r="314" ht="18" customHeight="1">
      <c r="B314" s="80">
        <f>IF(INDEX(Klassenliste!$B$6:$B$40,19)&lt;&gt;0,"max. Punkte","")</f>
        <v/>
      </c>
      <c r="C314" s="81">
        <f>IF(AND(INDEX(Klassenliste!$B$6:$B$40,19)&lt;&gt;0,NOT(OR(RB_Daten!B$3="",RB_Daten!B$3=0))),RB_Daten!B$3,"")</f>
        <v/>
      </c>
      <c r="D314" s="81">
        <f>IF(AND(INDEX(Klassenliste!$B$6:$B$40,19)&lt;&gt;0,NOT(OR(RB_Daten!C$3="",RB_Daten!C$3=0))),RB_Daten!C$3,"")</f>
        <v/>
      </c>
      <c r="E314" s="81">
        <f>IF(AND(INDEX(Klassenliste!$B$6:$B$40,19)&lt;&gt;0,NOT(OR(RB_Daten!D$3="",RB_Daten!D$3=0))),RB_Daten!D$3,"")</f>
        <v/>
      </c>
      <c r="F314" s="81">
        <f>IF(AND(INDEX(Klassenliste!$B$6:$B$40,19)&lt;&gt;0,NOT(OR(RB_Daten!E$3="",RB_Daten!E$3=0))),RB_Daten!E$3,"")</f>
        <v/>
      </c>
      <c r="G314" s="81">
        <f>IF(AND(INDEX(Klassenliste!$B$6:$B$40,19)&lt;&gt;0,NOT(OR(RB_Daten!F$3="",RB_Daten!F$3=0))),RB_Daten!F$3,"")</f>
        <v/>
      </c>
      <c r="H314" s="81">
        <f>IF(AND(INDEX(Klassenliste!$B$6:$B$40,19)&lt;&gt;0,NOT(OR(RB_Daten!G$3="",RB_Daten!G$3=0))),RB_Daten!G$3,"")</f>
        <v/>
      </c>
      <c r="I314" s="81">
        <f>IF(AND(INDEX(Klassenliste!$B$6:$B$40,19)&lt;&gt;0,NOT(OR(RB_Daten!H$3="",RB_Daten!H$3=0))),RB_Daten!H$3,"")</f>
        <v/>
      </c>
      <c r="J314" s="81">
        <f>IF(AND(INDEX(Klassenliste!$B$6:$B$40,19)&lt;&gt;0,NOT(OR(RB_Daten!I$3="",RB_Daten!I$3=0))),RB_Daten!I$3,"")</f>
        <v/>
      </c>
      <c r="K314" s="81">
        <f>IF(AND(INDEX(Klassenliste!$B$6:$B$40,19)&lt;&gt;0,NOT(OR(RB_Daten!J$3="",RB_Daten!J$3=0))),RB_Daten!J$3,"")</f>
        <v/>
      </c>
      <c r="L314" s="81">
        <f>IF(AND(INDEX(Klassenliste!$B$6:$B$40,19)&lt;&gt;0,NOT(OR(RB_Daten!K$3="",RB_Daten!K$3=0))),RB_Daten!K$3,"")</f>
        <v/>
      </c>
      <c r="M314" s="81">
        <f>IF(AND(INDEX(Klassenliste!$B$6:$B$40,19)&lt;&gt;0,NOT(OR(RB_Daten!L$3="",RB_Daten!L$3=0))),RB_Daten!L$3,"")</f>
        <v/>
      </c>
      <c r="N314" s="81">
        <f>IF(AND(INDEX(Klassenliste!$B$6:$B$40,19)&lt;&gt;0,NOT(OR(RB_Daten!M$3="",RB_Daten!M$3=0))),RB_Daten!M$3,"")</f>
        <v/>
      </c>
      <c r="O314" s="82">
        <f>IF(INDEX(Klassenliste!$B$6:$B$40,19)&lt;&gt;0,IF(RB_Daten!$A$4="","",RB_Daten!$A$4),"")</f>
        <v/>
      </c>
    </row>
    <row r="315" ht="18" customHeight="1">
      <c r="B315" s="83">
        <f>IF(INDEX(Klassenliste!$B$6:$B$40,19)&lt;&gt;0,"erreicht","")</f>
        <v/>
      </c>
      <c r="C315" s="84">
        <f>IF(AND(INDEX(Klassenliste!$B$6:$B$40,19)&lt;&gt;0,NOT(OR(RB_Daten!B$3="",RB_Daten!B$3=0))),IF(RB_Daten!B$23="","",RB_Daten!B$23),"")</f>
        <v/>
      </c>
      <c r="D315" s="84">
        <f>IF(AND(INDEX(Klassenliste!$B$6:$B$40,19)&lt;&gt;0,NOT(OR(RB_Daten!C$3="",RB_Daten!C$3=0))),IF(RB_Daten!C$23="","",RB_Daten!C$23),"")</f>
        <v/>
      </c>
      <c r="E315" s="84">
        <f>IF(AND(INDEX(Klassenliste!$B$6:$B$40,19)&lt;&gt;0,NOT(OR(RB_Daten!D$3="",RB_Daten!D$3=0))),IF(RB_Daten!D$23="","",RB_Daten!D$23),"")</f>
        <v/>
      </c>
      <c r="F315" s="84">
        <f>IF(AND(INDEX(Klassenliste!$B$6:$B$40,19)&lt;&gt;0,NOT(OR(RB_Daten!E$3="",RB_Daten!E$3=0))),IF(RB_Daten!E$23="","",RB_Daten!E$23),"")</f>
        <v/>
      </c>
      <c r="G315" s="84">
        <f>IF(AND(INDEX(Klassenliste!$B$6:$B$40,19)&lt;&gt;0,NOT(OR(RB_Daten!F$3="",RB_Daten!F$3=0))),IF(RB_Daten!F$23="","",RB_Daten!F$23),"")</f>
        <v/>
      </c>
      <c r="H315" s="84">
        <f>IF(AND(INDEX(Klassenliste!$B$6:$B$40,19)&lt;&gt;0,NOT(OR(RB_Daten!G$3="",RB_Daten!G$3=0))),IF(RB_Daten!G$23="","",RB_Daten!G$23),"")</f>
        <v/>
      </c>
      <c r="I315" s="84">
        <f>IF(AND(INDEX(Klassenliste!$B$6:$B$40,19)&lt;&gt;0,NOT(OR(RB_Daten!H$3="",RB_Daten!H$3=0))),IF(RB_Daten!H$23="","",RB_Daten!H$23),"")</f>
        <v/>
      </c>
      <c r="J315" s="84">
        <f>IF(AND(INDEX(Klassenliste!$B$6:$B$40,19)&lt;&gt;0,NOT(OR(RB_Daten!I$3="",RB_Daten!I$3=0))),IF(RB_Daten!I$23="","",RB_Daten!I$23),"")</f>
        <v/>
      </c>
      <c r="K315" s="84">
        <f>IF(AND(INDEX(Klassenliste!$B$6:$B$40,19)&lt;&gt;0,NOT(OR(RB_Daten!J$3="",RB_Daten!J$3=0))),IF(RB_Daten!J$23="","",RB_Daten!J$23),"")</f>
        <v/>
      </c>
      <c r="L315" s="84">
        <f>IF(AND(INDEX(Klassenliste!$B$6:$B$40,19)&lt;&gt;0,NOT(OR(RB_Daten!K$3="",RB_Daten!K$3=0))),IF(RB_Daten!K$23="","",RB_Daten!K$23),"")</f>
        <v/>
      </c>
      <c r="M315" s="84">
        <f>IF(AND(INDEX(Klassenliste!$B$6:$B$40,19)&lt;&gt;0,NOT(OR(RB_Daten!L$3="",RB_Daten!L$3=0))),IF(RB_Daten!L$23="","",RB_Daten!L$23),"")</f>
        <v/>
      </c>
      <c r="N315" s="84">
        <f>IF(AND(INDEX(Klassenliste!$B$6:$B$40,19)&lt;&gt;0,NOT(OR(RB_Daten!M$3="",RB_Daten!M$3=0))),IF(RB_Daten!M$23="","",RB_Daten!M$23),"")</f>
        <v/>
      </c>
      <c r="O315" s="85">
        <f>IF(INDEX(Klassenliste!$B$6:$B$40,19)&lt;&gt;0,IF(RB_Daten!$N23="","",RB_Daten!$N23),"")</f>
        <v/>
      </c>
    </row>
    <row r="316" ht="10" customHeight="1">
      <c r="B316" s="76" t="n"/>
      <c r="O316" s="74" t="n"/>
    </row>
    <row r="317" ht="24" customHeight="1">
      <c r="B317" s="73">
        <f>IF(INDEX(Klassenliste!$B$6:$B$40,19)&lt;&gt;0,IF(RB_Daten!$O23="","Ergebnis: –","Ergebnis: "&amp;ROUND(RB_Daten!$O23*100,1)&amp;" %"),"")</f>
        <v/>
      </c>
      <c r="F317" s="86">
        <f>IF(INDEX(Klassenliste!$B$6:$B$40,19)&lt;&gt;0,IF(RB_Daten!$P23="","Punkte: –","Punkte: "&amp;RB_Daten!$P23&amp;"  ("&amp;RB_Daten!$Q23&amp;")"),"")</f>
        <v/>
      </c>
      <c r="O317" s="74" t="n"/>
    </row>
    <row r="318" ht="16" customHeight="1">
      <c r="B318" s="87">
        <f>IF(INDEX(Klassenliste!$B$6:$B$40,19)&lt;&gt;0,"Notenschlüssel:","")</f>
        <v/>
      </c>
      <c r="C318" s="46">
        <f>IF(INDEX(Klassenliste!$B$6:$B$40,19)&lt;&gt;0,"Note 1","")</f>
        <v/>
      </c>
      <c r="D318" s="46">
        <f>IF(INDEX(Klassenliste!$B$6:$B$40,19)&lt;&gt;0,"Note 2","")</f>
        <v/>
      </c>
      <c r="E318" s="46">
        <f>IF(INDEX(Klassenliste!$B$6:$B$40,19)&lt;&gt;0,"Note 3","")</f>
        <v/>
      </c>
      <c r="F318" s="46">
        <f>IF(INDEX(Klassenliste!$B$6:$B$40,19)&lt;&gt;0,"Note 4","")</f>
        <v/>
      </c>
      <c r="G318" s="46">
        <f>IF(INDEX(Klassenliste!$B$6:$B$40,19)&lt;&gt;0,"Note 5","")</f>
        <v/>
      </c>
      <c r="H318" s="46">
        <f>IF(INDEX(Klassenliste!$B$6:$B$40,19)&lt;&gt;0,"Note 6","")</f>
        <v/>
      </c>
      <c r="O318" s="74" t="n"/>
    </row>
    <row r="319" ht="16" customHeight="1">
      <c r="B319" s="87">
        <f>IF(INDEX(Klassenliste!$B$6:$B$40,19)&lt;&gt;0,"ab Punkten:","")</f>
        <v/>
      </c>
      <c r="C319" s="88">
        <f>IF(AND(INDEX(Klassenliste!$B$6:$B$40,19)&lt;&gt;0,RB_Daten!$A$4&lt;&gt;""),CEILING(Notentabelle!$C$17*RB_Daten!$A$4,0.5),"")</f>
        <v/>
      </c>
      <c r="D319" s="88">
        <f>IF(AND(INDEX(Klassenliste!$B$6:$B$40,19)&lt;&gt;0,RB_Daten!$A$4&lt;&gt;""),CEILING(Notentabelle!$C$14*RB_Daten!$A$4,0.5),"")</f>
        <v/>
      </c>
      <c r="E319" s="88">
        <f>IF(AND(INDEX(Klassenliste!$B$6:$B$40,19)&lt;&gt;0,RB_Daten!$A$4&lt;&gt;""),CEILING(Notentabelle!$C$11*RB_Daten!$A$4,0.5),"")</f>
        <v/>
      </c>
      <c r="F319" s="88">
        <f>IF(AND(INDEX(Klassenliste!$B$6:$B$40,19)&lt;&gt;0,RB_Daten!$A$4&lt;&gt;""),CEILING(Notentabelle!$C$8*RB_Daten!$A$4,0.5),"")</f>
        <v/>
      </c>
      <c r="G319" s="88">
        <f>IF(AND(INDEX(Klassenliste!$B$6:$B$40,19)&lt;&gt;0,RB_Daten!$A$4&lt;&gt;""),CEILING(Notentabelle!$C$5*RB_Daten!$A$4,0.5),"")</f>
        <v/>
      </c>
      <c r="H319" s="88">
        <f>IF(AND(INDEX(Klassenliste!$B$6:$B$40,19)&lt;&gt;0,RB_Daten!$A$4&lt;&gt;""),CEILING(0*RB_Daten!$A$4,0.5),"")</f>
        <v/>
      </c>
      <c r="O319" s="74" t="n"/>
    </row>
    <row r="320" ht="14" customHeight="1">
      <c r="B320" s="76" t="n"/>
      <c r="O320" s="74" t="n"/>
    </row>
    <row r="321" ht="110" customHeight="1">
      <c r="B321" s="89">
        <f>IF(INDEX(Klassenliste!$B$6:$B$40,19)&lt;&gt;0,"Lob / Hinweis:","")</f>
        <v/>
      </c>
      <c r="C321" s="90">
        <f>IF(INDEX(Klassenliste!$B$6:$B$40,19)&lt;&gt;0,RB_Daten!$R$23,"")</f>
        <v/>
      </c>
      <c r="D321" s="91" t="n"/>
      <c r="E321" s="91" t="n"/>
      <c r="F321" s="91" t="n"/>
      <c r="G321" s="91" t="n"/>
      <c r="H321" s="91" t="n"/>
      <c r="I321" s="91" t="n"/>
      <c r="J321" s="91" t="n"/>
      <c r="K321" s="91" t="n"/>
      <c r="L321" s="91" t="n"/>
      <c r="M321" s="91" t="n"/>
      <c r="N321" s="91" t="n"/>
      <c r="O321" s="74" t="n"/>
    </row>
    <row r="322" ht="22" customHeight="1">
      <c r="B322" s="87">
        <f>IF(INDEX(Klassenliste!$B$6:$B$40,19)&lt;&gt;0,"Unterschrift Erziehungsberechtigte/r:","")</f>
        <v/>
      </c>
      <c r="F322" s="92" t="n"/>
      <c r="G322" s="92" t="n"/>
      <c r="H322" s="92" t="n"/>
      <c r="I322" s="92" t="n"/>
      <c r="O322" s="74" t="n"/>
    </row>
    <row r="323" ht="8" customHeight="1">
      <c r="B323" s="93" t="n"/>
      <c r="C323" s="94" t="n"/>
      <c r="D323" s="94" t="n"/>
      <c r="E323" s="94" t="n"/>
      <c r="F323" s="94" t="n"/>
      <c r="G323" s="94" t="n"/>
      <c r="H323" s="94" t="n"/>
      <c r="I323" s="94" t="n"/>
      <c r="J323" s="94" t="n"/>
      <c r="K323" s="94" t="n"/>
      <c r="L323" s="94" t="n"/>
      <c r="M323" s="94" t="n"/>
      <c r="N323" s="94" t="n"/>
      <c r="O323" s="95" t="n"/>
    </row>
    <row r="324" ht="27.5" customHeight="1"/>
    <row r="325" ht="27.5" customHeight="1"/>
    <row r="326" ht="6" customHeight="1">
      <c r="B326" s="70" t="n"/>
      <c r="C326" s="71" t="n"/>
      <c r="D326" s="71" t="n"/>
      <c r="E326" s="71" t="n"/>
      <c r="F326" s="71" t="n"/>
      <c r="G326" s="71" t="n"/>
      <c r="H326" s="71" t="n"/>
      <c r="I326" s="71" t="n"/>
      <c r="J326" s="71" t="n"/>
      <c r="K326" s="71" t="n"/>
      <c r="L326" s="71" t="n"/>
      <c r="M326" s="71" t="n"/>
      <c r="N326" s="71" t="n"/>
      <c r="O326" s="72" t="n"/>
    </row>
    <row r="327" ht="20" customHeight="1">
      <c r="B327" s="73">
        <f>IF(INDEX(Klassenliste!$B$6:$B$40,20)&lt;&gt;0,"Klausur "&amp;$C$2&amp;" · "&amp;Klassenliste!$E$2&amp;" · "&amp;Klassenliste!$J$2&amp;IF(RB_Daten!$A$3="",""," · "&amp;RB_Daten!$A$3),"")</f>
        <v/>
      </c>
      <c r="J327" s="12">
        <f>IF(INDEX(Klassenliste!$B$6:$B$40,20)&lt;&gt;0,IF(RB_Daten!$A$2="","Datum: ______","Datum: "&amp;IFERROR(TEXT(RB_Daten!$A$2,"TT.MM.JJJJ"),RB_Daten!$A$2)),"")</f>
        <v/>
      </c>
      <c r="O327" s="74" t="n"/>
    </row>
    <row r="328" ht="20" customHeight="1">
      <c r="B328" s="75">
        <f>IF(INDEX(Klassenliste!$B$6:$B$40,20)&lt;&gt;0,"Name: "&amp;INDEX(Klassenliste!$C$6:$C$40,20)&amp;" "&amp;INDEX(Klassenliste!$B$6:$B$40,20),"")</f>
        <v/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74" t="n"/>
    </row>
    <row r="329" ht="8" customHeight="1">
      <c r="B329" s="76" t="n"/>
      <c r="O329" s="74" t="n"/>
    </row>
    <row r="330" ht="18" customHeight="1">
      <c r="B330" s="77">
        <f>IF(INDEX(Klassenliste!$B$6:$B$40,20)&lt;&gt;0,"Aufgabe","")</f>
        <v/>
      </c>
      <c r="C330" s="78">
        <f>IF(AND(INDEX(Klassenliste!$B$6:$B$40,20)&lt;&gt;0,NOT(OR(RB_Daten!B$3="",RB_Daten!B$3=0))),RB_Daten!B$2,"")</f>
        <v/>
      </c>
      <c r="D330" s="78">
        <f>IF(AND(INDEX(Klassenliste!$B$6:$B$40,20)&lt;&gt;0,NOT(OR(RB_Daten!C$3="",RB_Daten!C$3=0))),RB_Daten!C$2,"")</f>
        <v/>
      </c>
      <c r="E330" s="78">
        <f>IF(AND(INDEX(Klassenliste!$B$6:$B$40,20)&lt;&gt;0,NOT(OR(RB_Daten!D$3="",RB_Daten!D$3=0))),RB_Daten!D$2,"")</f>
        <v/>
      </c>
      <c r="F330" s="78">
        <f>IF(AND(INDEX(Klassenliste!$B$6:$B$40,20)&lt;&gt;0,NOT(OR(RB_Daten!E$3="",RB_Daten!E$3=0))),RB_Daten!E$2,"")</f>
        <v/>
      </c>
      <c r="G330" s="78">
        <f>IF(AND(INDEX(Klassenliste!$B$6:$B$40,20)&lt;&gt;0,NOT(OR(RB_Daten!F$3="",RB_Daten!F$3=0))),RB_Daten!F$2,"")</f>
        <v/>
      </c>
      <c r="H330" s="78">
        <f>IF(AND(INDEX(Klassenliste!$B$6:$B$40,20)&lt;&gt;0,NOT(OR(RB_Daten!G$3="",RB_Daten!G$3=0))),RB_Daten!G$2,"")</f>
        <v/>
      </c>
      <c r="I330" s="78">
        <f>IF(AND(INDEX(Klassenliste!$B$6:$B$40,20)&lt;&gt;0,NOT(OR(RB_Daten!H$3="",RB_Daten!H$3=0))),RB_Daten!H$2,"")</f>
        <v/>
      </c>
      <c r="J330" s="78">
        <f>IF(AND(INDEX(Klassenliste!$B$6:$B$40,20)&lt;&gt;0,NOT(OR(RB_Daten!I$3="",RB_Daten!I$3=0))),RB_Daten!I$2,"")</f>
        <v/>
      </c>
      <c r="K330" s="78">
        <f>IF(AND(INDEX(Klassenliste!$B$6:$B$40,20)&lt;&gt;0,NOT(OR(RB_Daten!J$3="",RB_Daten!J$3=0))),RB_Daten!J$2,"")</f>
        <v/>
      </c>
      <c r="L330" s="78">
        <f>IF(AND(INDEX(Klassenliste!$B$6:$B$40,20)&lt;&gt;0,NOT(OR(RB_Daten!K$3="",RB_Daten!K$3=0))),RB_Daten!K$2,"")</f>
        <v/>
      </c>
      <c r="M330" s="78">
        <f>IF(AND(INDEX(Klassenliste!$B$6:$B$40,20)&lt;&gt;0,NOT(OR(RB_Daten!L$3="",RB_Daten!L$3=0))),RB_Daten!L$2,"")</f>
        <v/>
      </c>
      <c r="N330" s="78">
        <f>IF(AND(INDEX(Klassenliste!$B$6:$B$40,20)&lt;&gt;0,NOT(OR(RB_Daten!M$3="",RB_Daten!M$3=0))),RB_Daten!M$2,"")</f>
        <v/>
      </c>
      <c r="O330" s="79">
        <f>IF(INDEX(Klassenliste!$B$6:$B$40,20)&lt;&gt;0,"Gesamt","")</f>
        <v/>
      </c>
    </row>
    <row r="331" ht="18" customHeight="1">
      <c r="B331" s="80">
        <f>IF(INDEX(Klassenliste!$B$6:$B$40,20)&lt;&gt;0,"max. Punkte","")</f>
        <v/>
      </c>
      <c r="C331" s="81">
        <f>IF(AND(INDEX(Klassenliste!$B$6:$B$40,20)&lt;&gt;0,NOT(OR(RB_Daten!B$3="",RB_Daten!B$3=0))),RB_Daten!B$3,"")</f>
        <v/>
      </c>
      <c r="D331" s="81">
        <f>IF(AND(INDEX(Klassenliste!$B$6:$B$40,20)&lt;&gt;0,NOT(OR(RB_Daten!C$3="",RB_Daten!C$3=0))),RB_Daten!C$3,"")</f>
        <v/>
      </c>
      <c r="E331" s="81">
        <f>IF(AND(INDEX(Klassenliste!$B$6:$B$40,20)&lt;&gt;0,NOT(OR(RB_Daten!D$3="",RB_Daten!D$3=0))),RB_Daten!D$3,"")</f>
        <v/>
      </c>
      <c r="F331" s="81">
        <f>IF(AND(INDEX(Klassenliste!$B$6:$B$40,20)&lt;&gt;0,NOT(OR(RB_Daten!E$3="",RB_Daten!E$3=0))),RB_Daten!E$3,"")</f>
        <v/>
      </c>
      <c r="G331" s="81">
        <f>IF(AND(INDEX(Klassenliste!$B$6:$B$40,20)&lt;&gt;0,NOT(OR(RB_Daten!F$3="",RB_Daten!F$3=0))),RB_Daten!F$3,"")</f>
        <v/>
      </c>
      <c r="H331" s="81">
        <f>IF(AND(INDEX(Klassenliste!$B$6:$B$40,20)&lt;&gt;0,NOT(OR(RB_Daten!G$3="",RB_Daten!G$3=0))),RB_Daten!G$3,"")</f>
        <v/>
      </c>
      <c r="I331" s="81">
        <f>IF(AND(INDEX(Klassenliste!$B$6:$B$40,20)&lt;&gt;0,NOT(OR(RB_Daten!H$3="",RB_Daten!H$3=0))),RB_Daten!H$3,"")</f>
        <v/>
      </c>
      <c r="J331" s="81">
        <f>IF(AND(INDEX(Klassenliste!$B$6:$B$40,20)&lt;&gt;0,NOT(OR(RB_Daten!I$3="",RB_Daten!I$3=0))),RB_Daten!I$3,"")</f>
        <v/>
      </c>
      <c r="K331" s="81">
        <f>IF(AND(INDEX(Klassenliste!$B$6:$B$40,20)&lt;&gt;0,NOT(OR(RB_Daten!J$3="",RB_Daten!J$3=0))),RB_Daten!J$3,"")</f>
        <v/>
      </c>
      <c r="L331" s="81">
        <f>IF(AND(INDEX(Klassenliste!$B$6:$B$40,20)&lt;&gt;0,NOT(OR(RB_Daten!K$3="",RB_Daten!K$3=0))),RB_Daten!K$3,"")</f>
        <v/>
      </c>
      <c r="M331" s="81">
        <f>IF(AND(INDEX(Klassenliste!$B$6:$B$40,20)&lt;&gt;0,NOT(OR(RB_Daten!L$3="",RB_Daten!L$3=0))),RB_Daten!L$3,"")</f>
        <v/>
      </c>
      <c r="N331" s="81">
        <f>IF(AND(INDEX(Klassenliste!$B$6:$B$40,20)&lt;&gt;0,NOT(OR(RB_Daten!M$3="",RB_Daten!M$3=0))),RB_Daten!M$3,"")</f>
        <v/>
      </c>
      <c r="O331" s="82">
        <f>IF(INDEX(Klassenliste!$B$6:$B$40,20)&lt;&gt;0,IF(RB_Daten!$A$4="","",RB_Daten!$A$4),"")</f>
        <v/>
      </c>
    </row>
    <row r="332" ht="18" customHeight="1">
      <c r="B332" s="83">
        <f>IF(INDEX(Klassenliste!$B$6:$B$40,20)&lt;&gt;0,"erreicht","")</f>
        <v/>
      </c>
      <c r="C332" s="84">
        <f>IF(AND(INDEX(Klassenliste!$B$6:$B$40,20)&lt;&gt;0,NOT(OR(RB_Daten!B$3="",RB_Daten!B$3=0))),IF(RB_Daten!B$24="","",RB_Daten!B$24),"")</f>
        <v/>
      </c>
      <c r="D332" s="84">
        <f>IF(AND(INDEX(Klassenliste!$B$6:$B$40,20)&lt;&gt;0,NOT(OR(RB_Daten!C$3="",RB_Daten!C$3=0))),IF(RB_Daten!C$24="","",RB_Daten!C$24),"")</f>
        <v/>
      </c>
      <c r="E332" s="84">
        <f>IF(AND(INDEX(Klassenliste!$B$6:$B$40,20)&lt;&gt;0,NOT(OR(RB_Daten!D$3="",RB_Daten!D$3=0))),IF(RB_Daten!D$24="","",RB_Daten!D$24),"")</f>
        <v/>
      </c>
      <c r="F332" s="84">
        <f>IF(AND(INDEX(Klassenliste!$B$6:$B$40,20)&lt;&gt;0,NOT(OR(RB_Daten!E$3="",RB_Daten!E$3=0))),IF(RB_Daten!E$24="","",RB_Daten!E$24),"")</f>
        <v/>
      </c>
      <c r="G332" s="84">
        <f>IF(AND(INDEX(Klassenliste!$B$6:$B$40,20)&lt;&gt;0,NOT(OR(RB_Daten!F$3="",RB_Daten!F$3=0))),IF(RB_Daten!F$24="","",RB_Daten!F$24),"")</f>
        <v/>
      </c>
      <c r="H332" s="84">
        <f>IF(AND(INDEX(Klassenliste!$B$6:$B$40,20)&lt;&gt;0,NOT(OR(RB_Daten!G$3="",RB_Daten!G$3=0))),IF(RB_Daten!G$24="","",RB_Daten!G$24),"")</f>
        <v/>
      </c>
      <c r="I332" s="84">
        <f>IF(AND(INDEX(Klassenliste!$B$6:$B$40,20)&lt;&gt;0,NOT(OR(RB_Daten!H$3="",RB_Daten!H$3=0))),IF(RB_Daten!H$24="","",RB_Daten!H$24),"")</f>
        <v/>
      </c>
      <c r="J332" s="84">
        <f>IF(AND(INDEX(Klassenliste!$B$6:$B$40,20)&lt;&gt;0,NOT(OR(RB_Daten!I$3="",RB_Daten!I$3=0))),IF(RB_Daten!I$24="","",RB_Daten!I$24),"")</f>
        <v/>
      </c>
      <c r="K332" s="84">
        <f>IF(AND(INDEX(Klassenliste!$B$6:$B$40,20)&lt;&gt;0,NOT(OR(RB_Daten!J$3="",RB_Daten!J$3=0))),IF(RB_Daten!J$24="","",RB_Daten!J$24),"")</f>
        <v/>
      </c>
      <c r="L332" s="84">
        <f>IF(AND(INDEX(Klassenliste!$B$6:$B$40,20)&lt;&gt;0,NOT(OR(RB_Daten!K$3="",RB_Daten!K$3=0))),IF(RB_Daten!K$24="","",RB_Daten!K$24),"")</f>
        <v/>
      </c>
      <c r="M332" s="84">
        <f>IF(AND(INDEX(Klassenliste!$B$6:$B$40,20)&lt;&gt;0,NOT(OR(RB_Daten!L$3="",RB_Daten!L$3=0))),IF(RB_Daten!L$24="","",RB_Daten!L$24),"")</f>
        <v/>
      </c>
      <c r="N332" s="84">
        <f>IF(AND(INDEX(Klassenliste!$B$6:$B$40,20)&lt;&gt;0,NOT(OR(RB_Daten!M$3="",RB_Daten!M$3=0))),IF(RB_Daten!M$24="","",RB_Daten!M$24),"")</f>
        <v/>
      </c>
      <c r="O332" s="85">
        <f>IF(INDEX(Klassenliste!$B$6:$B$40,20)&lt;&gt;0,IF(RB_Daten!$N24="","",RB_Daten!$N24),"")</f>
        <v/>
      </c>
    </row>
    <row r="333" ht="10" customHeight="1">
      <c r="B333" s="76" t="n"/>
      <c r="O333" s="74" t="n"/>
    </row>
    <row r="334" ht="24" customHeight="1">
      <c r="B334" s="73">
        <f>IF(INDEX(Klassenliste!$B$6:$B$40,20)&lt;&gt;0,IF(RB_Daten!$O24="","Ergebnis: –","Ergebnis: "&amp;ROUND(RB_Daten!$O24*100,1)&amp;" %"),"")</f>
        <v/>
      </c>
      <c r="F334" s="86">
        <f>IF(INDEX(Klassenliste!$B$6:$B$40,20)&lt;&gt;0,IF(RB_Daten!$P24="","Punkte: –","Punkte: "&amp;RB_Daten!$P24&amp;"  ("&amp;RB_Daten!$Q24&amp;")"),"")</f>
        <v/>
      </c>
      <c r="O334" s="74" t="n"/>
    </row>
    <row r="335" ht="16" customHeight="1">
      <c r="B335" s="87">
        <f>IF(INDEX(Klassenliste!$B$6:$B$40,20)&lt;&gt;0,"Notenschlüssel:","")</f>
        <v/>
      </c>
      <c r="C335" s="46">
        <f>IF(INDEX(Klassenliste!$B$6:$B$40,20)&lt;&gt;0,"Note 1","")</f>
        <v/>
      </c>
      <c r="D335" s="46">
        <f>IF(INDEX(Klassenliste!$B$6:$B$40,20)&lt;&gt;0,"Note 2","")</f>
        <v/>
      </c>
      <c r="E335" s="46">
        <f>IF(INDEX(Klassenliste!$B$6:$B$40,20)&lt;&gt;0,"Note 3","")</f>
        <v/>
      </c>
      <c r="F335" s="46">
        <f>IF(INDEX(Klassenliste!$B$6:$B$40,20)&lt;&gt;0,"Note 4","")</f>
        <v/>
      </c>
      <c r="G335" s="46">
        <f>IF(INDEX(Klassenliste!$B$6:$B$40,20)&lt;&gt;0,"Note 5","")</f>
        <v/>
      </c>
      <c r="H335" s="46">
        <f>IF(INDEX(Klassenliste!$B$6:$B$40,20)&lt;&gt;0,"Note 6","")</f>
        <v/>
      </c>
      <c r="O335" s="74" t="n"/>
    </row>
    <row r="336" ht="16" customHeight="1">
      <c r="B336" s="87">
        <f>IF(INDEX(Klassenliste!$B$6:$B$40,20)&lt;&gt;0,"ab Punkten:","")</f>
        <v/>
      </c>
      <c r="C336" s="88">
        <f>IF(AND(INDEX(Klassenliste!$B$6:$B$40,20)&lt;&gt;0,RB_Daten!$A$4&lt;&gt;""),CEILING(Notentabelle!$C$17*RB_Daten!$A$4,0.5),"")</f>
        <v/>
      </c>
      <c r="D336" s="88">
        <f>IF(AND(INDEX(Klassenliste!$B$6:$B$40,20)&lt;&gt;0,RB_Daten!$A$4&lt;&gt;""),CEILING(Notentabelle!$C$14*RB_Daten!$A$4,0.5),"")</f>
        <v/>
      </c>
      <c r="E336" s="88">
        <f>IF(AND(INDEX(Klassenliste!$B$6:$B$40,20)&lt;&gt;0,RB_Daten!$A$4&lt;&gt;""),CEILING(Notentabelle!$C$11*RB_Daten!$A$4,0.5),"")</f>
        <v/>
      </c>
      <c r="F336" s="88">
        <f>IF(AND(INDEX(Klassenliste!$B$6:$B$40,20)&lt;&gt;0,RB_Daten!$A$4&lt;&gt;""),CEILING(Notentabelle!$C$8*RB_Daten!$A$4,0.5),"")</f>
        <v/>
      </c>
      <c r="G336" s="88">
        <f>IF(AND(INDEX(Klassenliste!$B$6:$B$40,20)&lt;&gt;0,RB_Daten!$A$4&lt;&gt;""),CEILING(Notentabelle!$C$5*RB_Daten!$A$4,0.5),"")</f>
        <v/>
      </c>
      <c r="H336" s="88">
        <f>IF(AND(INDEX(Klassenliste!$B$6:$B$40,20)&lt;&gt;0,RB_Daten!$A$4&lt;&gt;""),CEILING(0*RB_Daten!$A$4,0.5),"")</f>
        <v/>
      </c>
      <c r="O336" s="74" t="n"/>
    </row>
    <row r="337" ht="14" customHeight="1">
      <c r="B337" s="76" t="n"/>
      <c r="O337" s="74" t="n"/>
    </row>
    <row r="338" ht="110" customHeight="1">
      <c r="B338" s="89">
        <f>IF(INDEX(Klassenliste!$B$6:$B$40,20)&lt;&gt;0,"Lob / Hinweis:","")</f>
        <v/>
      </c>
      <c r="C338" s="90">
        <f>IF(INDEX(Klassenliste!$B$6:$B$40,20)&lt;&gt;0,RB_Daten!$R$24,"")</f>
        <v/>
      </c>
      <c r="D338" s="91" t="n"/>
      <c r="E338" s="91" t="n"/>
      <c r="F338" s="91" t="n"/>
      <c r="G338" s="91" t="n"/>
      <c r="H338" s="91" t="n"/>
      <c r="I338" s="91" t="n"/>
      <c r="J338" s="91" t="n"/>
      <c r="K338" s="91" t="n"/>
      <c r="L338" s="91" t="n"/>
      <c r="M338" s="91" t="n"/>
      <c r="N338" s="91" t="n"/>
      <c r="O338" s="74" t="n"/>
    </row>
    <row r="339" ht="22" customHeight="1">
      <c r="B339" s="87">
        <f>IF(INDEX(Klassenliste!$B$6:$B$40,20)&lt;&gt;0,"Unterschrift Erziehungsberechtigte/r:","")</f>
        <v/>
      </c>
      <c r="F339" s="92" t="n"/>
      <c r="G339" s="92" t="n"/>
      <c r="H339" s="92" t="n"/>
      <c r="I339" s="92" t="n"/>
      <c r="O339" s="74" t="n"/>
    </row>
    <row r="340" ht="8" customHeight="1">
      <c r="B340" s="93" t="n"/>
      <c r="C340" s="94" t="n"/>
      <c r="D340" s="94" t="n"/>
      <c r="E340" s="94" t="n"/>
      <c r="F340" s="94" t="n"/>
      <c r="G340" s="94" t="n"/>
      <c r="H340" s="94" t="n"/>
      <c r="I340" s="94" t="n"/>
      <c r="J340" s="94" t="n"/>
      <c r="K340" s="94" t="n"/>
      <c r="L340" s="94" t="n"/>
      <c r="M340" s="94" t="n"/>
      <c r="N340" s="94" t="n"/>
      <c r="O340" s="95" t="n"/>
    </row>
    <row r="341" ht="27.5" customHeight="1"/>
    <row r="342" ht="27.5" customHeight="1"/>
    <row r="343" ht="6" customHeight="1">
      <c r="B343" s="70" t="n"/>
      <c r="C343" s="71" t="n"/>
      <c r="D343" s="71" t="n"/>
      <c r="E343" s="71" t="n"/>
      <c r="F343" s="71" t="n"/>
      <c r="G343" s="71" t="n"/>
      <c r="H343" s="71" t="n"/>
      <c r="I343" s="71" t="n"/>
      <c r="J343" s="71" t="n"/>
      <c r="K343" s="71" t="n"/>
      <c r="L343" s="71" t="n"/>
      <c r="M343" s="71" t="n"/>
      <c r="N343" s="71" t="n"/>
      <c r="O343" s="72" t="n"/>
    </row>
    <row r="344" ht="20" customHeight="1">
      <c r="B344" s="73">
        <f>IF(INDEX(Klassenliste!$B$6:$B$40,21)&lt;&gt;0,"Klausur "&amp;$C$2&amp;" · "&amp;Klassenliste!$E$2&amp;" · "&amp;Klassenliste!$J$2&amp;IF(RB_Daten!$A$3="",""," · "&amp;RB_Daten!$A$3),"")</f>
        <v/>
      </c>
      <c r="J344" s="12">
        <f>IF(INDEX(Klassenliste!$B$6:$B$40,21)&lt;&gt;0,IF(RB_Daten!$A$2="","Datum: ______","Datum: "&amp;IFERROR(TEXT(RB_Daten!$A$2,"TT.MM.JJJJ"),RB_Daten!$A$2)),"")</f>
        <v/>
      </c>
      <c r="O344" s="74" t="n"/>
    </row>
    <row r="345" ht="20" customHeight="1">
      <c r="B345" s="75">
        <f>IF(INDEX(Klassenliste!$B$6:$B$40,21)&lt;&gt;0,"Name: "&amp;INDEX(Klassenliste!$C$6:$C$40,21)&amp;" "&amp;INDEX(Klassenliste!$B$6:$B$40,21),"")</f>
        <v/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74" t="n"/>
    </row>
    <row r="346" ht="8" customHeight="1">
      <c r="B346" s="76" t="n"/>
      <c r="O346" s="74" t="n"/>
    </row>
    <row r="347" ht="18" customHeight="1">
      <c r="B347" s="77">
        <f>IF(INDEX(Klassenliste!$B$6:$B$40,21)&lt;&gt;0,"Aufgabe","")</f>
        <v/>
      </c>
      <c r="C347" s="78">
        <f>IF(AND(INDEX(Klassenliste!$B$6:$B$40,21)&lt;&gt;0,NOT(OR(RB_Daten!B$3="",RB_Daten!B$3=0))),RB_Daten!B$2,"")</f>
        <v/>
      </c>
      <c r="D347" s="78">
        <f>IF(AND(INDEX(Klassenliste!$B$6:$B$40,21)&lt;&gt;0,NOT(OR(RB_Daten!C$3="",RB_Daten!C$3=0))),RB_Daten!C$2,"")</f>
        <v/>
      </c>
      <c r="E347" s="78">
        <f>IF(AND(INDEX(Klassenliste!$B$6:$B$40,21)&lt;&gt;0,NOT(OR(RB_Daten!D$3="",RB_Daten!D$3=0))),RB_Daten!D$2,"")</f>
        <v/>
      </c>
      <c r="F347" s="78">
        <f>IF(AND(INDEX(Klassenliste!$B$6:$B$40,21)&lt;&gt;0,NOT(OR(RB_Daten!E$3="",RB_Daten!E$3=0))),RB_Daten!E$2,"")</f>
        <v/>
      </c>
      <c r="G347" s="78">
        <f>IF(AND(INDEX(Klassenliste!$B$6:$B$40,21)&lt;&gt;0,NOT(OR(RB_Daten!F$3="",RB_Daten!F$3=0))),RB_Daten!F$2,"")</f>
        <v/>
      </c>
      <c r="H347" s="78">
        <f>IF(AND(INDEX(Klassenliste!$B$6:$B$40,21)&lt;&gt;0,NOT(OR(RB_Daten!G$3="",RB_Daten!G$3=0))),RB_Daten!G$2,"")</f>
        <v/>
      </c>
      <c r="I347" s="78">
        <f>IF(AND(INDEX(Klassenliste!$B$6:$B$40,21)&lt;&gt;0,NOT(OR(RB_Daten!H$3="",RB_Daten!H$3=0))),RB_Daten!H$2,"")</f>
        <v/>
      </c>
      <c r="J347" s="78">
        <f>IF(AND(INDEX(Klassenliste!$B$6:$B$40,21)&lt;&gt;0,NOT(OR(RB_Daten!I$3="",RB_Daten!I$3=0))),RB_Daten!I$2,"")</f>
        <v/>
      </c>
      <c r="K347" s="78">
        <f>IF(AND(INDEX(Klassenliste!$B$6:$B$40,21)&lt;&gt;0,NOT(OR(RB_Daten!J$3="",RB_Daten!J$3=0))),RB_Daten!J$2,"")</f>
        <v/>
      </c>
      <c r="L347" s="78">
        <f>IF(AND(INDEX(Klassenliste!$B$6:$B$40,21)&lt;&gt;0,NOT(OR(RB_Daten!K$3="",RB_Daten!K$3=0))),RB_Daten!K$2,"")</f>
        <v/>
      </c>
      <c r="M347" s="78">
        <f>IF(AND(INDEX(Klassenliste!$B$6:$B$40,21)&lt;&gt;0,NOT(OR(RB_Daten!L$3="",RB_Daten!L$3=0))),RB_Daten!L$2,"")</f>
        <v/>
      </c>
      <c r="N347" s="78">
        <f>IF(AND(INDEX(Klassenliste!$B$6:$B$40,21)&lt;&gt;0,NOT(OR(RB_Daten!M$3="",RB_Daten!M$3=0))),RB_Daten!M$2,"")</f>
        <v/>
      </c>
      <c r="O347" s="79">
        <f>IF(INDEX(Klassenliste!$B$6:$B$40,21)&lt;&gt;0,"Gesamt","")</f>
        <v/>
      </c>
    </row>
    <row r="348" ht="18" customHeight="1">
      <c r="B348" s="80">
        <f>IF(INDEX(Klassenliste!$B$6:$B$40,21)&lt;&gt;0,"max. Punkte","")</f>
        <v/>
      </c>
      <c r="C348" s="81">
        <f>IF(AND(INDEX(Klassenliste!$B$6:$B$40,21)&lt;&gt;0,NOT(OR(RB_Daten!B$3="",RB_Daten!B$3=0))),RB_Daten!B$3,"")</f>
        <v/>
      </c>
      <c r="D348" s="81">
        <f>IF(AND(INDEX(Klassenliste!$B$6:$B$40,21)&lt;&gt;0,NOT(OR(RB_Daten!C$3="",RB_Daten!C$3=0))),RB_Daten!C$3,"")</f>
        <v/>
      </c>
      <c r="E348" s="81">
        <f>IF(AND(INDEX(Klassenliste!$B$6:$B$40,21)&lt;&gt;0,NOT(OR(RB_Daten!D$3="",RB_Daten!D$3=0))),RB_Daten!D$3,"")</f>
        <v/>
      </c>
      <c r="F348" s="81">
        <f>IF(AND(INDEX(Klassenliste!$B$6:$B$40,21)&lt;&gt;0,NOT(OR(RB_Daten!E$3="",RB_Daten!E$3=0))),RB_Daten!E$3,"")</f>
        <v/>
      </c>
      <c r="G348" s="81">
        <f>IF(AND(INDEX(Klassenliste!$B$6:$B$40,21)&lt;&gt;0,NOT(OR(RB_Daten!F$3="",RB_Daten!F$3=0))),RB_Daten!F$3,"")</f>
        <v/>
      </c>
      <c r="H348" s="81">
        <f>IF(AND(INDEX(Klassenliste!$B$6:$B$40,21)&lt;&gt;0,NOT(OR(RB_Daten!G$3="",RB_Daten!G$3=0))),RB_Daten!G$3,"")</f>
        <v/>
      </c>
      <c r="I348" s="81">
        <f>IF(AND(INDEX(Klassenliste!$B$6:$B$40,21)&lt;&gt;0,NOT(OR(RB_Daten!H$3="",RB_Daten!H$3=0))),RB_Daten!H$3,"")</f>
        <v/>
      </c>
      <c r="J348" s="81">
        <f>IF(AND(INDEX(Klassenliste!$B$6:$B$40,21)&lt;&gt;0,NOT(OR(RB_Daten!I$3="",RB_Daten!I$3=0))),RB_Daten!I$3,"")</f>
        <v/>
      </c>
      <c r="K348" s="81">
        <f>IF(AND(INDEX(Klassenliste!$B$6:$B$40,21)&lt;&gt;0,NOT(OR(RB_Daten!J$3="",RB_Daten!J$3=0))),RB_Daten!J$3,"")</f>
        <v/>
      </c>
      <c r="L348" s="81">
        <f>IF(AND(INDEX(Klassenliste!$B$6:$B$40,21)&lt;&gt;0,NOT(OR(RB_Daten!K$3="",RB_Daten!K$3=0))),RB_Daten!K$3,"")</f>
        <v/>
      </c>
      <c r="M348" s="81">
        <f>IF(AND(INDEX(Klassenliste!$B$6:$B$40,21)&lt;&gt;0,NOT(OR(RB_Daten!L$3="",RB_Daten!L$3=0))),RB_Daten!L$3,"")</f>
        <v/>
      </c>
      <c r="N348" s="81">
        <f>IF(AND(INDEX(Klassenliste!$B$6:$B$40,21)&lt;&gt;0,NOT(OR(RB_Daten!M$3="",RB_Daten!M$3=0))),RB_Daten!M$3,"")</f>
        <v/>
      </c>
      <c r="O348" s="82">
        <f>IF(INDEX(Klassenliste!$B$6:$B$40,21)&lt;&gt;0,IF(RB_Daten!$A$4="","",RB_Daten!$A$4),"")</f>
        <v/>
      </c>
    </row>
    <row r="349" ht="18" customHeight="1">
      <c r="B349" s="83">
        <f>IF(INDEX(Klassenliste!$B$6:$B$40,21)&lt;&gt;0,"erreicht","")</f>
        <v/>
      </c>
      <c r="C349" s="84">
        <f>IF(AND(INDEX(Klassenliste!$B$6:$B$40,21)&lt;&gt;0,NOT(OR(RB_Daten!B$3="",RB_Daten!B$3=0))),IF(RB_Daten!B$25="","",RB_Daten!B$25),"")</f>
        <v/>
      </c>
      <c r="D349" s="84">
        <f>IF(AND(INDEX(Klassenliste!$B$6:$B$40,21)&lt;&gt;0,NOT(OR(RB_Daten!C$3="",RB_Daten!C$3=0))),IF(RB_Daten!C$25="","",RB_Daten!C$25),"")</f>
        <v/>
      </c>
      <c r="E349" s="84">
        <f>IF(AND(INDEX(Klassenliste!$B$6:$B$40,21)&lt;&gt;0,NOT(OR(RB_Daten!D$3="",RB_Daten!D$3=0))),IF(RB_Daten!D$25="","",RB_Daten!D$25),"")</f>
        <v/>
      </c>
      <c r="F349" s="84">
        <f>IF(AND(INDEX(Klassenliste!$B$6:$B$40,21)&lt;&gt;0,NOT(OR(RB_Daten!E$3="",RB_Daten!E$3=0))),IF(RB_Daten!E$25="","",RB_Daten!E$25),"")</f>
        <v/>
      </c>
      <c r="G349" s="84">
        <f>IF(AND(INDEX(Klassenliste!$B$6:$B$40,21)&lt;&gt;0,NOT(OR(RB_Daten!F$3="",RB_Daten!F$3=0))),IF(RB_Daten!F$25="","",RB_Daten!F$25),"")</f>
        <v/>
      </c>
      <c r="H349" s="84">
        <f>IF(AND(INDEX(Klassenliste!$B$6:$B$40,21)&lt;&gt;0,NOT(OR(RB_Daten!G$3="",RB_Daten!G$3=0))),IF(RB_Daten!G$25="","",RB_Daten!G$25),"")</f>
        <v/>
      </c>
      <c r="I349" s="84">
        <f>IF(AND(INDEX(Klassenliste!$B$6:$B$40,21)&lt;&gt;0,NOT(OR(RB_Daten!H$3="",RB_Daten!H$3=0))),IF(RB_Daten!H$25="","",RB_Daten!H$25),"")</f>
        <v/>
      </c>
      <c r="J349" s="84">
        <f>IF(AND(INDEX(Klassenliste!$B$6:$B$40,21)&lt;&gt;0,NOT(OR(RB_Daten!I$3="",RB_Daten!I$3=0))),IF(RB_Daten!I$25="","",RB_Daten!I$25),"")</f>
        <v/>
      </c>
      <c r="K349" s="84">
        <f>IF(AND(INDEX(Klassenliste!$B$6:$B$40,21)&lt;&gt;0,NOT(OR(RB_Daten!J$3="",RB_Daten!J$3=0))),IF(RB_Daten!J$25="","",RB_Daten!J$25),"")</f>
        <v/>
      </c>
      <c r="L349" s="84">
        <f>IF(AND(INDEX(Klassenliste!$B$6:$B$40,21)&lt;&gt;0,NOT(OR(RB_Daten!K$3="",RB_Daten!K$3=0))),IF(RB_Daten!K$25="","",RB_Daten!K$25),"")</f>
        <v/>
      </c>
      <c r="M349" s="84">
        <f>IF(AND(INDEX(Klassenliste!$B$6:$B$40,21)&lt;&gt;0,NOT(OR(RB_Daten!L$3="",RB_Daten!L$3=0))),IF(RB_Daten!L$25="","",RB_Daten!L$25),"")</f>
        <v/>
      </c>
      <c r="N349" s="84">
        <f>IF(AND(INDEX(Klassenliste!$B$6:$B$40,21)&lt;&gt;0,NOT(OR(RB_Daten!M$3="",RB_Daten!M$3=0))),IF(RB_Daten!M$25="","",RB_Daten!M$25),"")</f>
        <v/>
      </c>
      <c r="O349" s="85">
        <f>IF(INDEX(Klassenliste!$B$6:$B$40,21)&lt;&gt;0,IF(RB_Daten!$N25="","",RB_Daten!$N25),"")</f>
        <v/>
      </c>
    </row>
    <row r="350" ht="10" customHeight="1">
      <c r="B350" s="76" t="n"/>
      <c r="O350" s="74" t="n"/>
    </row>
    <row r="351" ht="24" customHeight="1">
      <c r="B351" s="73">
        <f>IF(INDEX(Klassenliste!$B$6:$B$40,21)&lt;&gt;0,IF(RB_Daten!$O25="","Ergebnis: –","Ergebnis: "&amp;ROUND(RB_Daten!$O25*100,1)&amp;" %"),"")</f>
        <v/>
      </c>
      <c r="F351" s="86">
        <f>IF(INDEX(Klassenliste!$B$6:$B$40,21)&lt;&gt;0,IF(RB_Daten!$P25="","Punkte: –","Punkte: "&amp;RB_Daten!$P25&amp;"  ("&amp;RB_Daten!$Q25&amp;")"),"")</f>
        <v/>
      </c>
      <c r="O351" s="74" t="n"/>
    </row>
    <row r="352" ht="16" customHeight="1">
      <c r="B352" s="87">
        <f>IF(INDEX(Klassenliste!$B$6:$B$40,21)&lt;&gt;0,"Notenschlüssel:","")</f>
        <v/>
      </c>
      <c r="C352" s="46">
        <f>IF(INDEX(Klassenliste!$B$6:$B$40,21)&lt;&gt;0,"Note 1","")</f>
        <v/>
      </c>
      <c r="D352" s="46">
        <f>IF(INDEX(Klassenliste!$B$6:$B$40,21)&lt;&gt;0,"Note 2","")</f>
        <v/>
      </c>
      <c r="E352" s="46">
        <f>IF(INDEX(Klassenliste!$B$6:$B$40,21)&lt;&gt;0,"Note 3","")</f>
        <v/>
      </c>
      <c r="F352" s="46">
        <f>IF(INDEX(Klassenliste!$B$6:$B$40,21)&lt;&gt;0,"Note 4","")</f>
        <v/>
      </c>
      <c r="G352" s="46">
        <f>IF(INDEX(Klassenliste!$B$6:$B$40,21)&lt;&gt;0,"Note 5","")</f>
        <v/>
      </c>
      <c r="H352" s="46">
        <f>IF(INDEX(Klassenliste!$B$6:$B$40,21)&lt;&gt;0,"Note 6","")</f>
        <v/>
      </c>
      <c r="O352" s="74" t="n"/>
    </row>
    <row r="353" ht="16" customHeight="1">
      <c r="B353" s="87">
        <f>IF(INDEX(Klassenliste!$B$6:$B$40,21)&lt;&gt;0,"ab Punkten:","")</f>
        <v/>
      </c>
      <c r="C353" s="88">
        <f>IF(AND(INDEX(Klassenliste!$B$6:$B$40,21)&lt;&gt;0,RB_Daten!$A$4&lt;&gt;""),CEILING(Notentabelle!$C$17*RB_Daten!$A$4,0.5),"")</f>
        <v/>
      </c>
      <c r="D353" s="88">
        <f>IF(AND(INDEX(Klassenliste!$B$6:$B$40,21)&lt;&gt;0,RB_Daten!$A$4&lt;&gt;""),CEILING(Notentabelle!$C$14*RB_Daten!$A$4,0.5),"")</f>
        <v/>
      </c>
      <c r="E353" s="88">
        <f>IF(AND(INDEX(Klassenliste!$B$6:$B$40,21)&lt;&gt;0,RB_Daten!$A$4&lt;&gt;""),CEILING(Notentabelle!$C$11*RB_Daten!$A$4,0.5),"")</f>
        <v/>
      </c>
      <c r="F353" s="88">
        <f>IF(AND(INDEX(Klassenliste!$B$6:$B$40,21)&lt;&gt;0,RB_Daten!$A$4&lt;&gt;""),CEILING(Notentabelle!$C$8*RB_Daten!$A$4,0.5),"")</f>
        <v/>
      </c>
      <c r="G353" s="88">
        <f>IF(AND(INDEX(Klassenliste!$B$6:$B$40,21)&lt;&gt;0,RB_Daten!$A$4&lt;&gt;""),CEILING(Notentabelle!$C$5*RB_Daten!$A$4,0.5),"")</f>
        <v/>
      </c>
      <c r="H353" s="88">
        <f>IF(AND(INDEX(Klassenliste!$B$6:$B$40,21)&lt;&gt;0,RB_Daten!$A$4&lt;&gt;""),CEILING(0*RB_Daten!$A$4,0.5),"")</f>
        <v/>
      </c>
      <c r="O353" s="74" t="n"/>
    </row>
    <row r="354" ht="14" customHeight="1">
      <c r="B354" s="76" t="n"/>
      <c r="O354" s="74" t="n"/>
    </row>
    <row r="355" ht="110" customHeight="1">
      <c r="B355" s="89">
        <f>IF(INDEX(Klassenliste!$B$6:$B$40,21)&lt;&gt;0,"Lob / Hinweis:","")</f>
        <v/>
      </c>
      <c r="C355" s="90">
        <f>IF(INDEX(Klassenliste!$B$6:$B$40,21)&lt;&gt;0,RB_Daten!$R$25,"")</f>
        <v/>
      </c>
      <c r="D355" s="91" t="n"/>
      <c r="E355" s="91" t="n"/>
      <c r="F355" s="91" t="n"/>
      <c r="G355" s="91" t="n"/>
      <c r="H355" s="91" t="n"/>
      <c r="I355" s="91" t="n"/>
      <c r="J355" s="91" t="n"/>
      <c r="K355" s="91" t="n"/>
      <c r="L355" s="91" t="n"/>
      <c r="M355" s="91" t="n"/>
      <c r="N355" s="91" t="n"/>
      <c r="O355" s="74" t="n"/>
    </row>
    <row r="356" ht="22" customHeight="1">
      <c r="B356" s="87">
        <f>IF(INDEX(Klassenliste!$B$6:$B$40,21)&lt;&gt;0,"Unterschrift Erziehungsberechtigte/r:","")</f>
        <v/>
      </c>
      <c r="F356" s="92" t="n"/>
      <c r="G356" s="92" t="n"/>
      <c r="H356" s="92" t="n"/>
      <c r="I356" s="92" t="n"/>
      <c r="O356" s="74" t="n"/>
    </row>
    <row r="357" ht="8" customHeight="1">
      <c r="B357" s="93" t="n"/>
      <c r="C357" s="94" t="n"/>
      <c r="D357" s="94" t="n"/>
      <c r="E357" s="94" t="n"/>
      <c r="F357" s="94" t="n"/>
      <c r="G357" s="94" t="n"/>
      <c r="H357" s="94" t="n"/>
      <c r="I357" s="94" t="n"/>
      <c r="J357" s="94" t="n"/>
      <c r="K357" s="94" t="n"/>
      <c r="L357" s="94" t="n"/>
      <c r="M357" s="94" t="n"/>
      <c r="N357" s="94" t="n"/>
      <c r="O357" s="95" t="n"/>
    </row>
    <row r="358" ht="27.5" customHeight="1"/>
    <row r="359" ht="27.5" customHeight="1"/>
    <row r="360" ht="6" customHeight="1">
      <c r="B360" s="70" t="n"/>
      <c r="C360" s="71" t="n"/>
      <c r="D360" s="71" t="n"/>
      <c r="E360" s="71" t="n"/>
      <c r="F360" s="71" t="n"/>
      <c r="G360" s="71" t="n"/>
      <c r="H360" s="71" t="n"/>
      <c r="I360" s="71" t="n"/>
      <c r="J360" s="71" t="n"/>
      <c r="K360" s="71" t="n"/>
      <c r="L360" s="71" t="n"/>
      <c r="M360" s="71" t="n"/>
      <c r="N360" s="71" t="n"/>
      <c r="O360" s="72" t="n"/>
    </row>
    <row r="361" ht="20" customHeight="1">
      <c r="B361" s="73">
        <f>IF(INDEX(Klassenliste!$B$6:$B$40,22)&lt;&gt;0,"Klausur "&amp;$C$2&amp;" · "&amp;Klassenliste!$E$2&amp;" · "&amp;Klassenliste!$J$2&amp;IF(RB_Daten!$A$3="",""," · "&amp;RB_Daten!$A$3),"")</f>
        <v/>
      </c>
      <c r="J361" s="12">
        <f>IF(INDEX(Klassenliste!$B$6:$B$40,22)&lt;&gt;0,IF(RB_Daten!$A$2="","Datum: ______","Datum: "&amp;IFERROR(TEXT(RB_Daten!$A$2,"TT.MM.JJJJ"),RB_Daten!$A$2)),"")</f>
        <v/>
      </c>
      <c r="O361" s="74" t="n"/>
    </row>
    <row r="362" ht="20" customHeight="1">
      <c r="B362" s="75">
        <f>IF(INDEX(Klassenliste!$B$6:$B$40,22)&lt;&gt;0,"Name: "&amp;INDEX(Klassenliste!$C$6:$C$40,22)&amp;" "&amp;INDEX(Klassenliste!$B$6:$B$40,22),"")</f>
        <v/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74" t="n"/>
    </row>
    <row r="363" ht="8" customHeight="1">
      <c r="B363" s="76" t="n"/>
      <c r="O363" s="74" t="n"/>
    </row>
    <row r="364" ht="18" customHeight="1">
      <c r="B364" s="77">
        <f>IF(INDEX(Klassenliste!$B$6:$B$40,22)&lt;&gt;0,"Aufgabe","")</f>
        <v/>
      </c>
      <c r="C364" s="78">
        <f>IF(AND(INDEX(Klassenliste!$B$6:$B$40,22)&lt;&gt;0,NOT(OR(RB_Daten!B$3="",RB_Daten!B$3=0))),RB_Daten!B$2,"")</f>
        <v/>
      </c>
      <c r="D364" s="78">
        <f>IF(AND(INDEX(Klassenliste!$B$6:$B$40,22)&lt;&gt;0,NOT(OR(RB_Daten!C$3="",RB_Daten!C$3=0))),RB_Daten!C$2,"")</f>
        <v/>
      </c>
      <c r="E364" s="78">
        <f>IF(AND(INDEX(Klassenliste!$B$6:$B$40,22)&lt;&gt;0,NOT(OR(RB_Daten!D$3="",RB_Daten!D$3=0))),RB_Daten!D$2,"")</f>
        <v/>
      </c>
      <c r="F364" s="78">
        <f>IF(AND(INDEX(Klassenliste!$B$6:$B$40,22)&lt;&gt;0,NOT(OR(RB_Daten!E$3="",RB_Daten!E$3=0))),RB_Daten!E$2,"")</f>
        <v/>
      </c>
      <c r="G364" s="78">
        <f>IF(AND(INDEX(Klassenliste!$B$6:$B$40,22)&lt;&gt;0,NOT(OR(RB_Daten!F$3="",RB_Daten!F$3=0))),RB_Daten!F$2,"")</f>
        <v/>
      </c>
      <c r="H364" s="78">
        <f>IF(AND(INDEX(Klassenliste!$B$6:$B$40,22)&lt;&gt;0,NOT(OR(RB_Daten!G$3="",RB_Daten!G$3=0))),RB_Daten!G$2,"")</f>
        <v/>
      </c>
      <c r="I364" s="78">
        <f>IF(AND(INDEX(Klassenliste!$B$6:$B$40,22)&lt;&gt;0,NOT(OR(RB_Daten!H$3="",RB_Daten!H$3=0))),RB_Daten!H$2,"")</f>
        <v/>
      </c>
      <c r="J364" s="78">
        <f>IF(AND(INDEX(Klassenliste!$B$6:$B$40,22)&lt;&gt;0,NOT(OR(RB_Daten!I$3="",RB_Daten!I$3=0))),RB_Daten!I$2,"")</f>
        <v/>
      </c>
      <c r="K364" s="78">
        <f>IF(AND(INDEX(Klassenliste!$B$6:$B$40,22)&lt;&gt;0,NOT(OR(RB_Daten!J$3="",RB_Daten!J$3=0))),RB_Daten!J$2,"")</f>
        <v/>
      </c>
      <c r="L364" s="78">
        <f>IF(AND(INDEX(Klassenliste!$B$6:$B$40,22)&lt;&gt;0,NOT(OR(RB_Daten!K$3="",RB_Daten!K$3=0))),RB_Daten!K$2,"")</f>
        <v/>
      </c>
      <c r="M364" s="78">
        <f>IF(AND(INDEX(Klassenliste!$B$6:$B$40,22)&lt;&gt;0,NOT(OR(RB_Daten!L$3="",RB_Daten!L$3=0))),RB_Daten!L$2,"")</f>
        <v/>
      </c>
      <c r="N364" s="78">
        <f>IF(AND(INDEX(Klassenliste!$B$6:$B$40,22)&lt;&gt;0,NOT(OR(RB_Daten!M$3="",RB_Daten!M$3=0))),RB_Daten!M$2,"")</f>
        <v/>
      </c>
      <c r="O364" s="79">
        <f>IF(INDEX(Klassenliste!$B$6:$B$40,22)&lt;&gt;0,"Gesamt","")</f>
        <v/>
      </c>
    </row>
    <row r="365" ht="18" customHeight="1">
      <c r="B365" s="80">
        <f>IF(INDEX(Klassenliste!$B$6:$B$40,22)&lt;&gt;0,"max. Punkte","")</f>
        <v/>
      </c>
      <c r="C365" s="81">
        <f>IF(AND(INDEX(Klassenliste!$B$6:$B$40,22)&lt;&gt;0,NOT(OR(RB_Daten!B$3="",RB_Daten!B$3=0))),RB_Daten!B$3,"")</f>
        <v/>
      </c>
      <c r="D365" s="81">
        <f>IF(AND(INDEX(Klassenliste!$B$6:$B$40,22)&lt;&gt;0,NOT(OR(RB_Daten!C$3="",RB_Daten!C$3=0))),RB_Daten!C$3,"")</f>
        <v/>
      </c>
      <c r="E365" s="81">
        <f>IF(AND(INDEX(Klassenliste!$B$6:$B$40,22)&lt;&gt;0,NOT(OR(RB_Daten!D$3="",RB_Daten!D$3=0))),RB_Daten!D$3,"")</f>
        <v/>
      </c>
      <c r="F365" s="81">
        <f>IF(AND(INDEX(Klassenliste!$B$6:$B$40,22)&lt;&gt;0,NOT(OR(RB_Daten!E$3="",RB_Daten!E$3=0))),RB_Daten!E$3,"")</f>
        <v/>
      </c>
      <c r="G365" s="81">
        <f>IF(AND(INDEX(Klassenliste!$B$6:$B$40,22)&lt;&gt;0,NOT(OR(RB_Daten!F$3="",RB_Daten!F$3=0))),RB_Daten!F$3,"")</f>
        <v/>
      </c>
      <c r="H365" s="81">
        <f>IF(AND(INDEX(Klassenliste!$B$6:$B$40,22)&lt;&gt;0,NOT(OR(RB_Daten!G$3="",RB_Daten!G$3=0))),RB_Daten!G$3,"")</f>
        <v/>
      </c>
      <c r="I365" s="81">
        <f>IF(AND(INDEX(Klassenliste!$B$6:$B$40,22)&lt;&gt;0,NOT(OR(RB_Daten!H$3="",RB_Daten!H$3=0))),RB_Daten!H$3,"")</f>
        <v/>
      </c>
      <c r="J365" s="81">
        <f>IF(AND(INDEX(Klassenliste!$B$6:$B$40,22)&lt;&gt;0,NOT(OR(RB_Daten!I$3="",RB_Daten!I$3=0))),RB_Daten!I$3,"")</f>
        <v/>
      </c>
      <c r="K365" s="81">
        <f>IF(AND(INDEX(Klassenliste!$B$6:$B$40,22)&lt;&gt;0,NOT(OR(RB_Daten!J$3="",RB_Daten!J$3=0))),RB_Daten!J$3,"")</f>
        <v/>
      </c>
      <c r="L365" s="81">
        <f>IF(AND(INDEX(Klassenliste!$B$6:$B$40,22)&lt;&gt;0,NOT(OR(RB_Daten!K$3="",RB_Daten!K$3=0))),RB_Daten!K$3,"")</f>
        <v/>
      </c>
      <c r="M365" s="81">
        <f>IF(AND(INDEX(Klassenliste!$B$6:$B$40,22)&lt;&gt;0,NOT(OR(RB_Daten!L$3="",RB_Daten!L$3=0))),RB_Daten!L$3,"")</f>
        <v/>
      </c>
      <c r="N365" s="81">
        <f>IF(AND(INDEX(Klassenliste!$B$6:$B$40,22)&lt;&gt;0,NOT(OR(RB_Daten!M$3="",RB_Daten!M$3=0))),RB_Daten!M$3,"")</f>
        <v/>
      </c>
      <c r="O365" s="82">
        <f>IF(INDEX(Klassenliste!$B$6:$B$40,22)&lt;&gt;0,IF(RB_Daten!$A$4="","",RB_Daten!$A$4),"")</f>
        <v/>
      </c>
    </row>
    <row r="366" ht="18" customHeight="1">
      <c r="B366" s="83">
        <f>IF(INDEX(Klassenliste!$B$6:$B$40,22)&lt;&gt;0,"erreicht","")</f>
        <v/>
      </c>
      <c r="C366" s="84">
        <f>IF(AND(INDEX(Klassenliste!$B$6:$B$40,22)&lt;&gt;0,NOT(OR(RB_Daten!B$3="",RB_Daten!B$3=0))),IF(RB_Daten!B$26="","",RB_Daten!B$26),"")</f>
        <v/>
      </c>
      <c r="D366" s="84">
        <f>IF(AND(INDEX(Klassenliste!$B$6:$B$40,22)&lt;&gt;0,NOT(OR(RB_Daten!C$3="",RB_Daten!C$3=0))),IF(RB_Daten!C$26="","",RB_Daten!C$26),"")</f>
        <v/>
      </c>
      <c r="E366" s="84">
        <f>IF(AND(INDEX(Klassenliste!$B$6:$B$40,22)&lt;&gt;0,NOT(OR(RB_Daten!D$3="",RB_Daten!D$3=0))),IF(RB_Daten!D$26="","",RB_Daten!D$26),"")</f>
        <v/>
      </c>
      <c r="F366" s="84">
        <f>IF(AND(INDEX(Klassenliste!$B$6:$B$40,22)&lt;&gt;0,NOT(OR(RB_Daten!E$3="",RB_Daten!E$3=0))),IF(RB_Daten!E$26="","",RB_Daten!E$26),"")</f>
        <v/>
      </c>
      <c r="G366" s="84">
        <f>IF(AND(INDEX(Klassenliste!$B$6:$B$40,22)&lt;&gt;0,NOT(OR(RB_Daten!F$3="",RB_Daten!F$3=0))),IF(RB_Daten!F$26="","",RB_Daten!F$26),"")</f>
        <v/>
      </c>
      <c r="H366" s="84">
        <f>IF(AND(INDEX(Klassenliste!$B$6:$B$40,22)&lt;&gt;0,NOT(OR(RB_Daten!G$3="",RB_Daten!G$3=0))),IF(RB_Daten!G$26="","",RB_Daten!G$26),"")</f>
        <v/>
      </c>
      <c r="I366" s="84">
        <f>IF(AND(INDEX(Klassenliste!$B$6:$B$40,22)&lt;&gt;0,NOT(OR(RB_Daten!H$3="",RB_Daten!H$3=0))),IF(RB_Daten!H$26="","",RB_Daten!H$26),"")</f>
        <v/>
      </c>
      <c r="J366" s="84">
        <f>IF(AND(INDEX(Klassenliste!$B$6:$B$40,22)&lt;&gt;0,NOT(OR(RB_Daten!I$3="",RB_Daten!I$3=0))),IF(RB_Daten!I$26="","",RB_Daten!I$26),"")</f>
        <v/>
      </c>
      <c r="K366" s="84">
        <f>IF(AND(INDEX(Klassenliste!$B$6:$B$40,22)&lt;&gt;0,NOT(OR(RB_Daten!J$3="",RB_Daten!J$3=0))),IF(RB_Daten!J$26="","",RB_Daten!J$26),"")</f>
        <v/>
      </c>
      <c r="L366" s="84">
        <f>IF(AND(INDEX(Klassenliste!$B$6:$B$40,22)&lt;&gt;0,NOT(OR(RB_Daten!K$3="",RB_Daten!K$3=0))),IF(RB_Daten!K$26="","",RB_Daten!K$26),"")</f>
        <v/>
      </c>
      <c r="M366" s="84">
        <f>IF(AND(INDEX(Klassenliste!$B$6:$B$40,22)&lt;&gt;0,NOT(OR(RB_Daten!L$3="",RB_Daten!L$3=0))),IF(RB_Daten!L$26="","",RB_Daten!L$26),"")</f>
        <v/>
      </c>
      <c r="N366" s="84">
        <f>IF(AND(INDEX(Klassenliste!$B$6:$B$40,22)&lt;&gt;0,NOT(OR(RB_Daten!M$3="",RB_Daten!M$3=0))),IF(RB_Daten!M$26="","",RB_Daten!M$26),"")</f>
        <v/>
      </c>
      <c r="O366" s="85">
        <f>IF(INDEX(Klassenliste!$B$6:$B$40,22)&lt;&gt;0,IF(RB_Daten!$N26="","",RB_Daten!$N26),"")</f>
        <v/>
      </c>
    </row>
    <row r="367" ht="10" customHeight="1">
      <c r="B367" s="76" t="n"/>
      <c r="O367" s="74" t="n"/>
    </row>
    <row r="368" ht="24" customHeight="1">
      <c r="B368" s="73">
        <f>IF(INDEX(Klassenliste!$B$6:$B$40,22)&lt;&gt;0,IF(RB_Daten!$O26="","Ergebnis: –","Ergebnis: "&amp;ROUND(RB_Daten!$O26*100,1)&amp;" %"),"")</f>
        <v/>
      </c>
      <c r="F368" s="86">
        <f>IF(INDEX(Klassenliste!$B$6:$B$40,22)&lt;&gt;0,IF(RB_Daten!$P26="","Punkte: –","Punkte: "&amp;RB_Daten!$P26&amp;"  ("&amp;RB_Daten!$Q26&amp;")"),"")</f>
        <v/>
      </c>
      <c r="O368" s="74" t="n"/>
    </row>
    <row r="369" ht="16" customHeight="1">
      <c r="B369" s="87">
        <f>IF(INDEX(Klassenliste!$B$6:$B$40,22)&lt;&gt;0,"Notenschlüssel:","")</f>
        <v/>
      </c>
      <c r="C369" s="46">
        <f>IF(INDEX(Klassenliste!$B$6:$B$40,22)&lt;&gt;0,"Note 1","")</f>
        <v/>
      </c>
      <c r="D369" s="46">
        <f>IF(INDEX(Klassenliste!$B$6:$B$40,22)&lt;&gt;0,"Note 2","")</f>
        <v/>
      </c>
      <c r="E369" s="46">
        <f>IF(INDEX(Klassenliste!$B$6:$B$40,22)&lt;&gt;0,"Note 3","")</f>
        <v/>
      </c>
      <c r="F369" s="46">
        <f>IF(INDEX(Klassenliste!$B$6:$B$40,22)&lt;&gt;0,"Note 4","")</f>
        <v/>
      </c>
      <c r="G369" s="46">
        <f>IF(INDEX(Klassenliste!$B$6:$B$40,22)&lt;&gt;0,"Note 5","")</f>
        <v/>
      </c>
      <c r="H369" s="46">
        <f>IF(INDEX(Klassenliste!$B$6:$B$40,22)&lt;&gt;0,"Note 6","")</f>
        <v/>
      </c>
      <c r="O369" s="74" t="n"/>
    </row>
    <row r="370" ht="16" customHeight="1">
      <c r="B370" s="87">
        <f>IF(INDEX(Klassenliste!$B$6:$B$40,22)&lt;&gt;0,"ab Punkten:","")</f>
        <v/>
      </c>
      <c r="C370" s="88">
        <f>IF(AND(INDEX(Klassenliste!$B$6:$B$40,22)&lt;&gt;0,RB_Daten!$A$4&lt;&gt;""),CEILING(Notentabelle!$C$17*RB_Daten!$A$4,0.5),"")</f>
        <v/>
      </c>
      <c r="D370" s="88">
        <f>IF(AND(INDEX(Klassenliste!$B$6:$B$40,22)&lt;&gt;0,RB_Daten!$A$4&lt;&gt;""),CEILING(Notentabelle!$C$14*RB_Daten!$A$4,0.5),"")</f>
        <v/>
      </c>
      <c r="E370" s="88">
        <f>IF(AND(INDEX(Klassenliste!$B$6:$B$40,22)&lt;&gt;0,RB_Daten!$A$4&lt;&gt;""),CEILING(Notentabelle!$C$11*RB_Daten!$A$4,0.5),"")</f>
        <v/>
      </c>
      <c r="F370" s="88">
        <f>IF(AND(INDEX(Klassenliste!$B$6:$B$40,22)&lt;&gt;0,RB_Daten!$A$4&lt;&gt;""),CEILING(Notentabelle!$C$8*RB_Daten!$A$4,0.5),"")</f>
        <v/>
      </c>
      <c r="G370" s="88">
        <f>IF(AND(INDEX(Klassenliste!$B$6:$B$40,22)&lt;&gt;0,RB_Daten!$A$4&lt;&gt;""),CEILING(Notentabelle!$C$5*RB_Daten!$A$4,0.5),"")</f>
        <v/>
      </c>
      <c r="H370" s="88">
        <f>IF(AND(INDEX(Klassenliste!$B$6:$B$40,22)&lt;&gt;0,RB_Daten!$A$4&lt;&gt;""),CEILING(0*RB_Daten!$A$4,0.5),"")</f>
        <v/>
      </c>
      <c r="O370" s="74" t="n"/>
    </row>
    <row r="371" ht="14" customHeight="1">
      <c r="B371" s="76" t="n"/>
      <c r="O371" s="74" t="n"/>
    </row>
    <row r="372" ht="110" customHeight="1">
      <c r="B372" s="89">
        <f>IF(INDEX(Klassenliste!$B$6:$B$40,22)&lt;&gt;0,"Lob / Hinweis:","")</f>
        <v/>
      </c>
      <c r="C372" s="90">
        <f>IF(INDEX(Klassenliste!$B$6:$B$40,22)&lt;&gt;0,RB_Daten!$R$26,"")</f>
        <v/>
      </c>
      <c r="D372" s="91" t="n"/>
      <c r="E372" s="91" t="n"/>
      <c r="F372" s="91" t="n"/>
      <c r="G372" s="91" t="n"/>
      <c r="H372" s="91" t="n"/>
      <c r="I372" s="91" t="n"/>
      <c r="J372" s="91" t="n"/>
      <c r="K372" s="91" t="n"/>
      <c r="L372" s="91" t="n"/>
      <c r="M372" s="91" t="n"/>
      <c r="N372" s="91" t="n"/>
      <c r="O372" s="74" t="n"/>
    </row>
    <row r="373" ht="22" customHeight="1">
      <c r="B373" s="87">
        <f>IF(INDEX(Klassenliste!$B$6:$B$40,22)&lt;&gt;0,"Unterschrift Erziehungsberechtigte/r:","")</f>
        <v/>
      </c>
      <c r="F373" s="92" t="n"/>
      <c r="G373" s="92" t="n"/>
      <c r="H373" s="92" t="n"/>
      <c r="I373" s="92" t="n"/>
      <c r="O373" s="74" t="n"/>
    </row>
    <row r="374" ht="8" customHeight="1">
      <c r="B374" s="93" t="n"/>
      <c r="C374" s="94" t="n"/>
      <c r="D374" s="94" t="n"/>
      <c r="E374" s="94" t="n"/>
      <c r="F374" s="94" t="n"/>
      <c r="G374" s="94" t="n"/>
      <c r="H374" s="94" t="n"/>
      <c r="I374" s="94" t="n"/>
      <c r="J374" s="94" t="n"/>
      <c r="K374" s="94" t="n"/>
      <c r="L374" s="94" t="n"/>
      <c r="M374" s="94" t="n"/>
      <c r="N374" s="94" t="n"/>
      <c r="O374" s="95" t="n"/>
    </row>
    <row r="375" ht="27.5" customHeight="1"/>
    <row r="376" ht="27.5" customHeight="1"/>
    <row r="377" ht="6" customHeight="1">
      <c r="B377" s="70" t="n"/>
      <c r="C377" s="71" t="n"/>
      <c r="D377" s="71" t="n"/>
      <c r="E377" s="71" t="n"/>
      <c r="F377" s="71" t="n"/>
      <c r="G377" s="71" t="n"/>
      <c r="H377" s="71" t="n"/>
      <c r="I377" s="71" t="n"/>
      <c r="J377" s="71" t="n"/>
      <c r="K377" s="71" t="n"/>
      <c r="L377" s="71" t="n"/>
      <c r="M377" s="71" t="n"/>
      <c r="N377" s="71" t="n"/>
      <c r="O377" s="72" t="n"/>
    </row>
    <row r="378" ht="20" customHeight="1">
      <c r="B378" s="73">
        <f>IF(INDEX(Klassenliste!$B$6:$B$40,23)&lt;&gt;0,"Klausur "&amp;$C$2&amp;" · "&amp;Klassenliste!$E$2&amp;" · "&amp;Klassenliste!$J$2&amp;IF(RB_Daten!$A$3="",""," · "&amp;RB_Daten!$A$3),"")</f>
        <v/>
      </c>
      <c r="J378" s="12">
        <f>IF(INDEX(Klassenliste!$B$6:$B$40,23)&lt;&gt;0,IF(RB_Daten!$A$2="","Datum: ______","Datum: "&amp;IFERROR(TEXT(RB_Daten!$A$2,"TT.MM.JJJJ"),RB_Daten!$A$2)),"")</f>
        <v/>
      </c>
      <c r="O378" s="74" t="n"/>
    </row>
    <row r="379" ht="20" customHeight="1">
      <c r="B379" s="75">
        <f>IF(INDEX(Klassenliste!$B$6:$B$40,23)&lt;&gt;0,"Name: "&amp;INDEX(Klassenliste!$C$6:$C$40,23)&amp;" "&amp;INDEX(Klassenliste!$B$6:$B$40,23),"")</f>
        <v/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74" t="n"/>
    </row>
    <row r="380" ht="8" customHeight="1">
      <c r="B380" s="76" t="n"/>
      <c r="O380" s="74" t="n"/>
    </row>
    <row r="381" ht="18" customHeight="1">
      <c r="B381" s="77">
        <f>IF(INDEX(Klassenliste!$B$6:$B$40,23)&lt;&gt;0,"Aufgabe","")</f>
        <v/>
      </c>
      <c r="C381" s="78">
        <f>IF(AND(INDEX(Klassenliste!$B$6:$B$40,23)&lt;&gt;0,NOT(OR(RB_Daten!B$3="",RB_Daten!B$3=0))),RB_Daten!B$2,"")</f>
        <v/>
      </c>
      <c r="D381" s="78">
        <f>IF(AND(INDEX(Klassenliste!$B$6:$B$40,23)&lt;&gt;0,NOT(OR(RB_Daten!C$3="",RB_Daten!C$3=0))),RB_Daten!C$2,"")</f>
        <v/>
      </c>
      <c r="E381" s="78">
        <f>IF(AND(INDEX(Klassenliste!$B$6:$B$40,23)&lt;&gt;0,NOT(OR(RB_Daten!D$3="",RB_Daten!D$3=0))),RB_Daten!D$2,"")</f>
        <v/>
      </c>
      <c r="F381" s="78">
        <f>IF(AND(INDEX(Klassenliste!$B$6:$B$40,23)&lt;&gt;0,NOT(OR(RB_Daten!E$3="",RB_Daten!E$3=0))),RB_Daten!E$2,"")</f>
        <v/>
      </c>
      <c r="G381" s="78">
        <f>IF(AND(INDEX(Klassenliste!$B$6:$B$40,23)&lt;&gt;0,NOT(OR(RB_Daten!F$3="",RB_Daten!F$3=0))),RB_Daten!F$2,"")</f>
        <v/>
      </c>
      <c r="H381" s="78">
        <f>IF(AND(INDEX(Klassenliste!$B$6:$B$40,23)&lt;&gt;0,NOT(OR(RB_Daten!G$3="",RB_Daten!G$3=0))),RB_Daten!G$2,"")</f>
        <v/>
      </c>
      <c r="I381" s="78">
        <f>IF(AND(INDEX(Klassenliste!$B$6:$B$40,23)&lt;&gt;0,NOT(OR(RB_Daten!H$3="",RB_Daten!H$3=0))),RB_Daten!H$2,"")</f>
        <v/>
      </c>
      <c r="J381" s="78">
        <f>IF(AND(INDEX(Klassenliste!$B$6:$B$40,23)&lt;&gt;0,NOT(OR(RB_Daten!I$3="",RB_Daten!I$3=0))),RB_Daten!I$2,"")</f>
        <v/>
      </c>
      <c r="K381" s="78">
        <f>IF(AND(INDEX(Klassenliste!$B$6:$B$40,23)&lt;&gt;0,NOT(OR(RB_Daten!J$3="",RB_Daten!J$3=0))),RB_Daten!J$2,"")</f>
        <v/>
      </c>
      <c r="L381" s="78">
        <f>IF(AND(INDEX(Klassenliste!$B$6:$B$40,23)&lt;&gt;0,NOT(OR(RB_Daten!K$3="",RB_Daten!K$3=0))),RB_Daten!K$2,"")</f>
        <v/>
      </c>
      <c r="M381" s="78">
        <f>IF(AND(INDEX(Klassenliste!$B$6:$B$40,23)&lt;&gt;0,NOT(OR(RB_Daten!L$3="",RB_Daten!L$3=0))),RB_Daten!L$2,"")</f>
        <v/>
      </c>
      <c r="N381" s="78">
        <f>IF(AND(INDEX(Klassenliste!$B$6:$B$40,23)&lt;&gt;0,NOT(OR(RB_Daten!M$3="",RB_Daten!M$3=0))),RB_Daten!M$2,"")</f>
        <v/>
      </c>
      <c r="O381" s="79">
        <f>IF(INDEX(Klassenliste!$B$6:$B$40,23)&lt;&gt;0,"Gesamt","")</f>
        <v/>
      </c>
    </row>
    <row r="382" ht="18" customHeight="1">
      <c r="B382" s="80">
        <f>IF(INDEX(Klassenliste!$B$6:$B$40,23)&lt;&gt;0,"max. Punkte","")</f>
        <v/>
      </c>
      <c r="C382" s="81">
        <f>IF(AND(INDEX(Klassenliste!$B$6:$B$40,23)&lt;&gt;0,NOT(OR(RB_Daten!B$3="",RB_Daten!B$3=0))),RB_Daten!B$3,"")</f>
        <v/>
      </c>
      <c r="D382" s="81">
        <f>IF(AND(INDEX(Klassenliste!$B$6:$B$40,23)&lt;&gt;0,NOT(OR(RB_Daten!C$3="",RB_Daten!C$3=0))),RB_Daten!C$3,"")</f>
        <v/>
      </c>
      <c r="E382" s="81">
        <f>IF(AND(INDEX(Klassenliste!$B$6:$B$40,23)&lt;&gt;0,NOT(OR(RB_Daten!D$3="",RB_Daten!D$3=0))),RB_Daten!D$3,"")</f>
        <v/>
      </c>
      <c r="F382" s="81">
        <f>IF(AND(INDEX(Klassenliste!$B$6:$B$40,23)&lt;&gt;0,NOT(OR(RB_Daten!E$3="",RB_Daten!E$3=0))),RB_Daten!E$3,"")</f>
        <v/>
      </c>
      <c r="G382" s="81">
        <f>IF(AND(INDEX(Klassenliste!$B$6:$B$40,23)&lt;&gt;0,NOT(OR(RB_Daten!F$3="",RB_Daten!F$3=0))),RB_Daten!F$3,"")</f>
        <v/>
      </c>
      <c r="H382" s="81">
        <f>IF(AND(INDEX(Klassenliste!$B$6:$B$40,23)&lt;&gt;0,NOT(OR(RB_Daten!G$3="",RB_Daten!G$3=0))),RB_Daten!G$3,"")</f>
        <v/>
      </c>
      <c r="I382" s="81">
        <f>IF(AND(INDEX(Klassenliste!$B$6:$B$40,23)&lt;&gt;0,NOT(OR(RB_Daten!H$3="",RB_Daten!H$3=0))),RB_Daten!H$3,"")</f>
        <v/>
      </c>
      <c r="J382" s="81">
        <f>IF(AND(INDEX(Klassenliste!$B$6:$B$40,23)&lt;&gt;0,NOT(OR(RB_Daten!I$3="",RB_Daten!I$3=0))),RB_Daten!I$3,"")</f>
        <v/>
      </c>
      <c r="K382" s="81">
        <f>IF(AND(INDEX(Klassenliste!$B$6:$B$40,23)&lt;&gt;0,NOT(OR(RB_Daten!J$3="",RB_Daten!J$3=0))),RB_Daten!J$3,"")</f>
        <v/>
      </c>
      <c r="L382" s="81">
        <f>IF(AND(INDEX(Klassenliste!$B$6:$B$40,23)&lt;&gt;0,NOT(OR(RB_Daten!K$3="",RB_Daten!K$3=0))),RB_Daten!K$3,"")</f>
        <v/>
      </c>
      <c r="M382" s="81">
        <f>IF(AND(INDEX(Klassenliste!$B$6:$B$40,23)&lt;&gt;0,NOT(OR(RB_Daten!L$3="",RB_Daten!L$3=0))),RB_Daten!L$3,"")</f>
        <v/>
      </c>
      <c r="N382" s="81">
        <f>IF(AND(INDEX(Klassenliste!$B$6:$B$40,23)&lt;&gt;0,NOT(OR(RB_Daten!M$3="",RB_Daten!M$3=0))),RB_Daten!M$3,"")</f>
        <v/>
      </c>
      <c r="O382" s="82">
        <f>IF(INDEX(Klassenliste!$B$6:$B$40,23)&lt;&gt;0,IF(RB_Daten!$A$4="","",RB_Daten!$A$4),"")</f>
        <v/>
      </c>
    </row>
    <row r="383" ht="18" customHeight="1">
      <c r="B383" s="83">
        <f>IF(INDEX(Klassenliste!$B$6:$B$40,23)&lt;&gt;0,"erreicht","")</f>
        <v/>
      </c>
      <c r="C383" s="84">
        <f>IF(AND(INDEX(Klassenliste!$B$6:$B$40,23)&lt;&gt;0,NOT(OR(RB_Daten!B$3="",RB_Daten!B$3=0))),IF(RB_Daten!B$27="","",RB_Daten!B$27),"")</f>
        <v/>
      </c>
      <c r="D383" s="84">
        <f>IF(AND(INDEX(Klassenliste!$B$6:$B$40,23)&lt;&gt;0,NOT(OR(RB_Daten!C$3="",RB_Daten!C$3=0))),IF(RB_Daten!C$27="","",RB_Daten!C$27),"")</f>
        <v/>
      </c>
      <c r="E383" s="84">
        <f>IF(AND(INDEX(Klassenliste!$B$6:$B$40,23)&lt;&gt;0,NOT(OR(RB_Daten!D$3="",RB_Daten!D$3=0))),IF(RB_Daten!D$27="","",RB_Daten!D$27),"")</f>
        <v/>
      </c>
      <c r="F383" s="84">
        <f>IF(AND(INDEX(Klassenliste!$B$6:$B$40,23)&lt;&gt;0,NOT(OR(RB_Daten!E$3="",RB_Daten!E$3=0))),IF(RB_Daten!E$27="","",RB_Daten!E$27),"")</f>
        <v/>
      </c>
      <c r="G383" s="84">
        <f>IF(AND(INDEX(Klassenliste!$B$6:$B$40,23)&lt;&gt;0,NOT(OR(RB_Daten!F$3="",RB_Daten!F$3=0))),IF(RB_Daten!F$27="","",RB_Daten!F$27),"")</f>
        <v/>
      </c>
      <c r="H383" s="84">
        <f>IF(AND(INDEX(Klassenliste!$B$6:$B$40,23)&lt;&gt;0,NOT(OR(RB_Daten!G$3="",RB_Daten!G$3=0))),IF(RB_Daten!G$27="","",RB_Daten!G$27),"")</f>
        <v/>
      </c>
      <c r="I383" s="84">
        <f>IF(AND(INDEX(Klassenliste!$B$6:$B$40,23)&lt;&gt;0,NOT(OR(RB_Daten!H$3="",RB_Daten!H$3=0))),IF(RB_Daten!H$27="","",RB_Daten!H$27),"")</f>
        <v/>
      </c>
      <c r="J383" s="84">
        <f>IF(AND(INDEX(Klassenliste!$B$6:$B$40,23)&lt;&gt;0,NOT(OR(RB_Daten!I$3="",RB_Daten!I$3=0))),IF(RB_Daten!I$27="","",RB_Daten!I$27),"")</f>
        <v/>
      </c>
      <c r="K383" s="84">
        <f>IF(AND(INDEX(Klassenliste!$B$6:$B$40,23)&lt;&gt;0,NOT(OR(RB_Daten!J$3="",RB_Daten!J$3=0))),IF(RB_Daten!J$27="","",RB_Daten!J$27),"")</f>
        <v/>
      </c>
      <c r="L383" s="84">
        <f>IF(AND(INDEX(Klassenliste!$B$6:$B$40,23)&lt;&gt;0,NOT(OR(RB_Daten!K$3="",RB_Daten!K$3=0))),IF(RB_Daten!K$27="","",RB_Daten!K$27),"")</f>
        <v/>
      </c>
      <c r="M383" s="84">
        <f>IF(AND(INDEX(Klassenliste!$B$6:$B$40,23)&lt;&gt;0,NOT(OR(RB_Daten!L$3="",RB_Daten!L$3=0))),IF(RB_Daten!L$27="","",RB_Daten!L$27),"")</f>
        <v/>
      </c>
      <c r="N383" s="84">
        <f>IF(AND(INDEX(Klassenliste!$B$6:$B$40,23)&lt;&gt;0,NOT(OR(RB_Daten!M$3="",RB_Daten!M$3=0))),IF(RB_Daten!M$27="","",RB_Daten!M$27),"")</f>
        <v/>
      </c>
      <c r="O383" s="85">
        <f>IF(INDEX(Klassenliste!$B$6:$B$40,23)&lt;&gt;0,IF(RB_Daten!$N27="","",RB_Daten!$N27),"")</f>
        <v/>
      </c>
    </row>
    <row r="384" ht="10" customHeight="1">
      <c r="B384" s="76" t="n"/>
      <c r="O384" s="74" t="n"/>
    </row>
    <row r="385" ht="24" customHeight="1">
      <c r="B385" s="73">
        <f>IF(INDEX(Klassenliste!$B$6:$B$40,23)&lt;&gt;0,IF(RB_Daten!$O27="","Ergebnis: –","Ergebnis: "&amp;ROUND(RB_Daten!$O27*100,1)&amp;" %"),"")</f>
        <v/>
      </c>
      <c r="F385" s="86">
        <f>IF(INDEX(Klassenliste!$B$6:$B$40,23)&lt;&gt;0,IF(RB_Daten!$P27="","Punkte: –","Punkte: "&amp;RB_Daten!$P27&amp;"  ("&amp;RB_Daten!$Q27&amp;")"),"")</f>
        <v/>
      </c>
      <c r="O385" s="74" t="n"/>
    </row>
    <row r="386" ht="16" customHeight="1">
      <c r="B386" s="87">
        <f>IF(INDEX(Klassenliste!$B$6:$B$40,23)&lt;&gt;0,"Notenschlüssel:","")</f>
        <v/>
      </c>
      <c r="C386" s="46">
        <f>IF(INDEX(Klassenliste!$B$6:$B$40,23)&lt;&gt;0,"Note 1","")</f>
        <v/>
      </c>
      <c r="D386" s="46">
        <f>IF(INDEX(Klassenliste!$B$6:$B$40,23)&lt;&gt;0,"Note 2","")</f>
        <v/>
      </c>
      <c r="E386" s="46">
        <f>IF(INDEX(Klassenliste!$B$6:$B$40,23)&lt;&gt;0,"Note 3","")</f>
        <v/>
      </c>
      <c r="F386" s="46">
        <f>IF(INDEX(Klassenliste!$B$6:$B$40,23)&lt;&gt;0,"Note 4","")</f>
        <v/>
      </c>
      <c r="G386" s="46">
        <f>IF(INDEX(Klassenliste!$B$6:$B$40,23)&lt;&gt;0,"Note 5","")</f>
        <v/>
      </c>
      <c r="H386" s="46">
        <f>IF(INDEX(Klassenliste!$B$6:$B$40,23)&lt;&gt;0,"Note 6","")</f>
        <v/>
      </c>
      <c r="O386" s="74" t="n"/>
    </row>
    <row r="387" ht="16" customHeight="1">
      <c r="B387" s="87">
        <f>IF(INDEX(Klassenliste!$B$6:$B$40,23)&lt;&gt;0,"ab Punkten:","")</f>
        <v/>
      </c>
      <c r="C387" s="88">
        <f>IF(AND(INDEX(Klassenliste!$B$6:$B$40,23)&lt;&gt;0,RB_Daten!$A$4&lt;&gt;""),CEILING(Notentabelle!$C$17*RB_Daten!$A$4,0.5),"")</f>
        <v/>
      </c>
      <c r="D387" s="88">
        <f>IF(AND(INDEX(Klassenliste!$B$6:$B$40,23)&lt;&gt;0,RB_Daten!$A$4&lt;&gt;""),CEILING(Notentabelle!$C$14*RB_Daten!$A$4,0.5),"")</f>
        <v/>
      </c>
      <c r="E387" s="88">
        <f>IF(AND(INDEX(Klassenliste!$B$6:$B$40,23)&lt;&gt;0,RB_Daten!$A$4&lt;&gt;""),CEILING(Notentabelle!$C$11*RB_Daten!$A$4,0.5),"")</f>
        <v/>
      </c>
      <c r="F387" s="88">
        <f>IF(AND(INDEX(Klassenliste!$B$6:$B$40,23)&lt;&gt;0,RB_Daten!$A$4&lt;&gt;""),CEILING(Notentabelle!$C$8*RB_Daten!$A$4,0.5),"")</f>
        <v/>
      </c>
      <c r="G387" s="88">
        <f>IF(AND(INDEX(Klassenliste!$B$6:$B$40,23)&lt;&gt;0,RB_Daten!$A$4&lt;&gt;""),CEILING(Notentabelle!$C$5*RB_Daten!$A$4,0.5),"")</f>
        <v/>
      </c>
      <c r="H387" s="88">
        <f>IF(AND(INDEX(Klassenliste!$B$6:$B$40,23)&lt;&gt;0,RB_Daten!$A$4&lt;&gt;""),CEILING(0*RB_Daten!$A$4,0.5),"")</f>
        <v/>
      </c>
      <c r="O387" s="74" t="n"/>
    </row>
    <row r="388" ht="14" customHeight="1">
      <c r="B388" s="76" t="n"/>
      <c r="O388" s="74" t="n"/>
    </row>
    <row r="389" ht="110" customHeight="1">
      <c r="B389" s="89">
        <f>IF(INDEX(Klassenliste!$B$6:$B$40,23)&lt;&gt;0,"Lob / Hinweis:","")</f>
        <v/>
      </c>
      <c r="C389" s="90">
        <f>IF(INDEX(Klassenliste!$B$6:$B$40,23)&lt;&gt;0,RB_Daten!$R$27,"")</f>
        <v/>
      </c>
      <c r="D389" s="91" t="n"/>
      <c r="E389" s="91" t="n"/>
      <c r="F389" s="91" t="n"/>
      <c r="G389" s="91" t="n"/>
      <c r="H389" s="91" t="n"/>
      <c r="I389" s="91" t="n"/>
      <c r="J389" s="91" t="n"/>
      <c r="K389" s="91" t="n"/>
      <c r="L389" s="91" t="n"/>
      <c r="M389" s="91" t="n"/>
      <c r="N389" s="91" t="n"/>
      <c r="O389" s="74" t="n"/>
    </row>
    <row r="390" ht="22" customHeight="1">
      <c r="B390" s="87">
        <f>IF(INDEX(Klassenliste!$B$6:$B$40,23)&lt;&gt;0,"Unterschrift Erziehungsberechtigte/r:","")</f>
        <v/>
      </c>
      <c r="F390" s="92" t="n"/>
      <c r="G390" s="92" t="n"/>
      <c r="H390" s="92" t="n"/>
      <c r="I390" s="92" t="n"/>
      <c r="O390" s="74" t="n"/>
    </row>
    <row r="391" ht="8" customHeight="1">
      <c r="B391" s="93" t="n"/>
      <c r="C391" s="94" t="n"/>
      <c r="D391" s="94" t="n"/>
      <c r="E391" s="94" t="n"/>
      <c r="F391" s="94" t="n"/>
      <c r="G391" s="94" t="n"/>
      <c r="H391" s="94" t="n"/>
      <c r="I391" s="94" t="n"/>
      <c r="J391" s="94" t="n"/>
      <c r="K391" s="94" t="n"/>
      <c r="L391" s="94" t="n"/>
      <c r="M391" s="94" t="n"/>
      <c r="N391" s="94" t="n"/>
      <c r="O391" s="95" t="n"/>
    </row>
    <row r="392" ht="27.5" customHeight="1"/>
    <row r="393" ht="27.5" customHeight="1"/>
    <row r="394" ht="6" customHeight="1">
      <c r="B394" s="70" t="n"/>
      <c r="C394" s="71" t="n"/>
      <c r="D394" s="71" t="n"/>
      <c r="E394" s="71" t="n"/>
      <c r="F394" s="71" t="n"/>
      <c r="G394" s="71" t="n"/>
      <c r="H394" s="71" t="n"/>
      <c r="I394" s="71" t="n"/>
      <c r="J394" s="71" t="n"/>
      <c r="K394" s="71" t="n"/>
      <c r="L394" s="71" t="n"/>
      <c r="M394" s="71" t="n"/>
      <c r="N394" s="71" t="n"/>
      <c r="O394" s="72" t="n"/>
    </row>
    <row r="395" ht="20" customHeight="1">
      <c r="B395" s="73">
        <f>IF(INDEX(Klassenliste!$B$6:$B$40,24)&lt;&gt;0,"Klausur "&amp;$C$2&amp;" · "&amp;Klassenliste!$E$2&amp;" · "&amp;Klassenliste!$J$2&amp;IF(RB_Daten!$A$3="",""," · "&amp;RB_Daten!$A$3),"")</f>
        <v/>
      </c>
      <c r="J395" s="12">
        <f>IF(INDEX(Klassenliste!$B$6:$B$40,24)&lt;&gt;0,IF(RB_Daten!$A$2="","Datum: ______","Datum: "&amp;IFERROR(TEXT(RB_Daten!$A$2,"TT.MM.JJJJ"),RB_Daten!$A$2)),"")</f>
        <v/>
      </c>
      <c r="O395" s="74" t="n"/>
    </row>
    <row r="396" ht="20" customHeight="1">
      <c r="B396" s="75">
        <f>IF(INDEX(Klassenliste!$B$6:$B$40,24)&lt;&gt;0,"Name: "&amp;INDEX(Klassenliste!$C$6:$C$40,24)&amp;" "&amp;INDEX(Klassenliste!$B$6:$B$40,24),"")</f>
        <v/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74" t="n"/>
    </row>
    <row r="397" ht="8" customHeight="1">
      <c r="B397" s="76" t="n"/>
      <c r="O397" s="74" t="n"/>
    </row>
    <row r="398" ht="18" customHeight="1">
      <c r="B398" s="77">
        <f>IF(INDEX(Klassenliste!$B$6:$B$40,24)&lt;&gt;0,"Aufgabe","")</f>
        <v/>
      </c>
      <c r="C398" s="78">
        <f>IF(AND(INDEX(Klassenliste!$B$6:$B$40,24)&lt;&gt;0,NOT(OR(RB_Daten!B$3="",RB_Daten!B$3=0))),RB_Daten!B$2,"")</f>
        <v/>
      </c>
      <c r="D398" s="78">
        <f>IF(AND(INDEX(Klassenliste!$B$6:$B$40,24)&lt;&gt;0,NOT(OR(RB_Daten!C$3="",RB_Daten!C$3=0))),RB_Daten!C$2,"")</f>
        <v/>
      </c>
      <c r="E398" s="78">
        <f>IF(AND(INDEX(Klassenliste!$B$6:$B$40,24)&lt;&gt;0,NOT(OR(RB_Daten!D$3="",RB_Daten!D$3=0))),RB_Daten!D$2,"")</f>
        <v/>
      </c>
      <c r="F398" s="78">
        <f>IF(AND(INDEX(Klassenliste!$B$6:$B$40,24)&lt;&gt;0,NOT(OR(RB_Daten!E$3="",RB_Daten!E$3=0))),RB_Daten!E$2,"")</f>
        <v/>
      </c>
      <c r="G398" s="78">
        <f>IF(AND(INDEX(Klassenliste!$B$6:$B$40,24)&lt;&gt;0,NOT(OR(RB_Daten!F$3="",RB_Daten!F$3=0))),RB_Daten!F$2,"")</f>
        <v/>
      </c>
      <c r="H398" s="78">
        <f>IF(AND(INDEX(Klassenliste!$B$6:$B$40,24)&lt;&gt;0,NOT(OR(RB_Daten!G$3="",RB_Daten!G$3=0))),RB_Daten!G$2,"")</f>
        <v/>
      </c>
      <c r="I398" s="78">
        <f>IF(AND(INDEX(Klassenliste!$B$6:$B$40,24)&lt;&gt;0,NOT(OR(RB_Daten!H$3="",RB_Daten!H$3=0))),RB_Daten!H$2,"")</f>
        <v/>
      </c>
      <c r="J398" s="78">
        <f>IF(AND(INDEX(Klassenliste!$B$6:$B$40,24)&lt;&gt;0,NOT(OR(RB_Daten!I$3="",RB_Daten!I$3=0))),RB_Daten!I$2,"")</f>
        <v/>
      </c>
      <c r="K398" s="78">
        <f>IF(AND(INDEX(Klassenliste!$B$6:$B$40,24)&lt;&gt;0,NOT(OR(RB_Daten!J$3="",RB_Daten!J$3=0))),RB_Daten!J$2,"")</f>
        <v/>
      </c>
      <c r="L398" s="78">
        <f>IF(AND(INDEX(Klassenliste!$B$6:$B$40,24)&lt;&gt;0,NOT(OR(RB_Daten!K$3="",RB_Daten!K$3=0))),RB_Daten!K$2,"")</f>
        <v/>
      </c>
      <c r="M398" s="78">
        <f>IF(AND(INDEX(Klassenliste!$B$6:$B$40,24)&lt;&gt;0,NOT(OR(RB_Daten!L$3="",RB_Daten!L$3=0))),RB_Daten!L$2,"")</f>
        <v/>
      </c>
      <c r="N398" s="78">
        <f>IF(AND(INDEX(Klassenliste!$B$6:$B$40,24)&lt;&gt;0,NOT(OR(RB_Daten!M$3="",RB_Daten!M$3=0))),RB_Daten!M$2,"")</f>
        <v/>
      </c>
      <c r="O398" s="79">
        <f>IF(INDEX(Klassenliste!$B$6:$B$40,24)&lt;&gt;0,"Gesamt","")</f>
        <v/>
      </c>
    </row>
    <row r="399" ht="18" customHeight="1">
      <c r="B399" s="80">
        <f>IF(INDEX(Klassenliste!$B$6:$B$40,24)&lt;&gt;0,"max. Punkte","")</f>
        <v/>
      </c>
      <c r="C399" s="81">
        <f>IF(AND(INDEX(Klassenliste!$B$6:$B$40,24)&lt;&gt;0,NOT(OR(RB_Daten!B$3="",RB_Daten!B$3=0))),RB_Daten!B$3,"")</f>
        <v/>
      </c>
      <c r="D399" s="81">
        <f>IF(AND(INDEX(Klassenliste!$B$6:$B$40,24)&lt;&gt;0,NOT(OR(RB_Daten!C$3="",RB_Daten!C$3=0))),RB_Daten!C$3,"")</f>
        <v/>
      </c>
      <c r="E399" s="81">
        <f>IF(AND(INDEX(Klassenliste!$B$6:$B$40,24)&lt;&gt;0,NOT(OR(RB_Daten!D$3="",RB_Daten!D$3=0))),RB_Daten!D$3,"")</f>
        <v/>
      </c>
      <c r="F399" s="81">
        <f>IF(AND(INDEX(Klassenliste!$B$6:$B$40,24)&lt;&gt;0,NOT(OR(RB_Daten!E$3="",RB_Daten!E$3=0))),RB_Daten!E$3,"")</f>
        <v/>
      </c>
      <c r="G399" s="81">
        <f>IF(AND(INDEX(Klassenliste!$B$6:$B$40,24)&lt;&gt;0,NOT(OR(RB_Daten!F$3="",RB_Daten!F$3=0))),RB_Daten!F$3,"")</f>
        <v/>
      </c>
      <c r="H399" s="81">
        <f>IF(AND(INDEX(Klassenliste!$B$6:$B$40,24)&lt;&gt;0,NOT(OR(RB_Daten!G$3="",RB_Daten!G$3=0))),RB_Daten!G$3,"")</f>
        <v/>
      </c>
      <c r="I399" s="81">
        <f>IF(AND(INDEX(Klassenliste!$B$6:$B$40,24)&lt;&gt;0,NOT(OR(RB_Daten!H$3="",RB_Daten!H$3=0))),RB_Daten!H$3,"")</f>
        <v/>
      </c>
      <c r="J399" s="81">
        <f>IF(AND(INDEX(Klassenliste!$B$6:$B$40,24)&lt;&gt;0,NOT(OR(RB_Daten!I$3="",RB_Daten!I$3=0))),RB_Daten!I$3,"")</f>
        <v/>
      </c>
      <c r="K399" s="81">
        <f>IF(AND(INDEX(Klassenliste!$B$6:$B$40,24)&lt;&gt;0,NOT(OR(RB_Daten!J$3="",RB_Daten!J$3=0))),RB_Daten!J$3,"")</f>
        <v/>
      </c>
      <c r="L399" s="81">
        <f>IF(AND(INDEX(Klassenliste!$B$6:$B$40,24)&lt;&gt;0,NOT(OR(RB_Daten!K$3="",RB_Daten!K$3=0))),RB_Daten!K$3,"")</f>
        <v/>
      </c>
      <c r="M399" s="81">
        <f>IF(AND(INDEX(Klassenliste!$B$6:$B$40,24)&lt;&gt;0,NOT(OR(RB_Daten!L$3="",RB_Daten!L$3=0))),RB_Daten!L$3,"")</f>
        <v/>
      </c>
      <c r="N399" s="81">
        <f>IF(AND(INDEX(Klassenliste!$B$6:$B$40,24)&lt;&gt;0,NOT(OR(RB_Daten!M$3="",RB_Daten!M$3=0))),RB_Daten!M$3,"")</f>
        <v/>
      </c>
      <c r="O399" s="82">
        <f>IF(INDEX(Klassenliste!$B$6:$B$40,24)&lt;&gt;0,IF(RB_Daten!$A$4="","",RB_Daten!$A$4),"")</f>
        <v/>
      </c>
    </row>
    <row r="400" ht="18" customHeight="1">
      <c r="B400" s="83">
        <f>IF(INDEX(Klassenliste!$B$6:$B$40,24)&lt;&gt;0,"erreicht","")</f>
        <v/>
      </c>
      <c r="C400" s="84">
        <f>IF(AND(INDEX(Klassenliste!$B$6:$B$40,24)&lt;&gt;0,NOT(OR(RB_Daten!B$3="",RB_Daten!B$3=0))),IF(RB_Daten!B$28="","",RB_Daten!B$28),"")</f>
        <v/>
      </c>
      <c r="D400" s="84">
        <f>IF(AND(INDEX(Klassenliste!$B$6:$B$40,24)&lt;&gt;0,NOT(OR(RB_Daten!C$3="",RB_Daten!C$3=0))),IF(RB_Daten!C$28="","",RB_Daten!C$28),"")</f>
        <v/>
      </c>
      <c r="E400" s="84">
        <f>IF(AND(INDEX(Klassenliste!$B$6:$B$40,24)&lt;&gt;0,NOT(OR(RB_Daten!D$3="",RB_Daten!D$3=0))),IF(RB_Daten!D$28="","",RB_Daten!D$28),"")</f>
        <v/>
      </c>
      <c r="F400" s="84">
        <f>IF(AND(INDEX(Klassenliste!$B$6:$B$40,24)&lt;&gt;0,NOT(OR(RB_Daten!E$3="",RB_Daten!E$3=0))),IF(RB_Daten!E$28="","",RB_Daten!E$28),"")</f>
        <v/>
      </c>
      <c r="G400" s="84">
        <f>IF(AND(INDEX(Klassenliste!$B$6:$B$40,24)&lt;&gt;0,NOT(OR(RB_Daten!F$3="",RB_Daten!F$3=0))),IF(RB_Daten!F$28="","",RB_Daten!F$28),"")</f>
        <v/>
      </c>
      <c r="H400" s="84">
        <f>IF(AND(INDEX(Klassenliste!$B$6:$B$40,24)&lt;&gt;0,NOT(OR(RB_Daten!G$3="",RB_Daten!G$3=0))),IF(RB_Daten!G$28="","",RB_Daten!G$28),"")</f>
        <v/>
      </c>
      <c r="I400" s="84">
        <f>IF(AND(INDEX(Klassenliste!$B$6:$B$40,24)&lt;&gt;0,NOT(OR(RB_Daten!H$3="",RB_Daten!H$3=0))),IF(RB_Daten!H$28="","",RB_Daten!H$28),"")</f>
        <v/>
      </c>
      <c r="J400" s="84">
        <f>IF(AND(INDEX(Klassenliste!$B$6:$B$40,24)&lt;&gt;0,NOT(OR(RB_Daten!I$3="",RB_Daten!I$3=0))),IF(RB_Daten!I$28="","",RB_Daten!I$28),"")</f>
        <v/>
      </c>
      <c r="K400" s="84">
        <f>IF(AND(INDEX(Klassenliste!$B$6:$B$40,24)&lt;&gt;0,NOT(OR(RB_Daten!J$3="",RB_Daten!J$3=0))),IF(RB_Daten!J$28="","",RB_Daten!J$28),"")</f>
        <v/>
      </c>
      <c r="L400" s="84">
        <f>IF(AND(INDEX(Klassenliste!$B$6:$B$40,24)&lt;&gt;0,NOT(OR(RB_Daten!K$3="",RB_Daten!K$3=0))),IF(RB_Daten!K$28="","",RB_Daten!K$28),"")</f>
        <v/>
      </c>
      <c r="M400" s="84">
        <f>IF(AND(INDEX(Klassenliste!$B$6:$B$40,24)&lt;&gt;0,NOT(OR(RB_Daten!L$3="",RB_Daten!L$3=0))),IF(RB_Daten!L$28="","",RB_Daten!L$28),"")</f>
        <v/>
      </c>
      <c r="N400" s="84">
        <f>IF(AND(INDEX(Klassenliste!$B$6:$B$40,24)&lt;&gt;0,NOT(OR(RB_Daten!M$3="",RB_Daten!M$3=0))),IF(RB_Daten!M$28="","",RB_Daten!M$28),"")</f>
        <v/>
      </c>
      <c r="O400" s="85">
        <f>IF(INDEX(Klassenliste!$B$6:$B$40,24)&lt;&gt;0,IF(RB_Daten!$N28="","",RB_Daten!$N28),"")</f>
        <v/>
      </c>
    </row>
    <row r="401" ht="10" customHeight="1">
      <c r="B401" s="76" t="n"/>
      <c r="O401" s="74" t="n"/>
    </row>
    <row r="402" ht="24" customHeight="1">
      <c r="B402" s="73">
        <f>IF(INDEX(Klassenliste!$B$6:$B$40,24)&lt;&gt;0,IF(RB_Daten!$O28="","Ergebnis: –","Ergebnis: "&amp;ROUND(RB_Daten!$O28*100,1)&amp;" %"),"")</f>
        <v/>
      </c>
      <c r="F402" s="86">
        <f>IF(INDEX(Klassenliste!$B$6:$B$40,24)&lt;&gt;0,IF(RB_Daten!$P28="","Punkte: –","Punkte: "&amp;RB_Daten!$P28&amp;"  ("&amp;RB_Daten!$Q28&amp;")"),"")</f>
        <v/>
      </c>
      <c r="O402" s="74" t="n"/>
    </row>
    <row r="403" ht="16" customHeight="1">
      <c r="B403" s="87">
        <f>IF(INDEX(Klassenliste!$B$6:$B$40,24)&lt;&gt;0,"Notenschlüssel:","")</f>
        <v/>
      </c>
      <c r="C403" s="46">
        <f>IF(INDEX(Klassenliste!$B$6:$B$40,24)&lt;&gt;0,"Note 1","")</f>
        <v/>
      </c>
      <c r="D403" s="46">
        <f>IF(INDEX(Klassenliste!$B$6:$B$40,24)&lt;&gt;0,"Note 2","")</f>
        <v/>
      </c>
      <c r="E403" s="46">
        <f>IF(INDEX(Klassenliste!$B$6:$B$40,24)&lt;&gt;0,"Note 3","")</f>
        <v/>
      </c>
      <c r="F403" s="46">
        <f>IF(INDEX(Klassenliste!$B$6:$B$40,24)&lt;&gt;0,"Note 4","")</f>
        <v/>
      </c>
      <c r="G403" s="46">
        <f>IF(INDEX(Klassenliste!$B$6:$B$40,24)&lt;&gt;0,"Note 5","")</f>
        <v/>
      </c>
      <c r="H403" s="46">
        <f>IF(INDEX(Klassenliste!$B$6:$B$40,24)&lt;&gt;0,"Note 6","")</f>
        <v/>
      </c>
      <c r="O403" s="74" t="n"/>
    </row>
    <row r="404" ht="16" customHeight="1">
      <c r="B404" s="87">
        <f>IF(INDEX(Klassenliste!$B$6:$B$40,24)&lt;&gt;0,"ab Punkten:","")</f>
        <v/>
      </c>
      <c r="C404" s="88">
        <f>IF(AND(INDEX(Klassenliste!$B$6:$B$40,24)&lt;&gt;0,RB_Daten!$A$4&lt;&gt;""),CEILING(Notentabelle!$C$17*RB_Daten!$A$4,0.5),"")</f>
        <v/>
      </c>
      <c r="D404" s="88">
        <f>IF(AND(INDEX(Klassenliste!$B$6:$B$40,24)&lt;&gt;0,RB_Daten!$A$4&lt;&gt;""),CEILING(Notentabelle!$C$14*RB_Daten!$A$4,0.5),"")</f>
        <v/>
      </c>
      <c r="E404" s="88">
        <f>IF(AND(INDEX(Klassenliste!$B$6:$B$40,24)&lt;&gt;0,RB_Daten!$A$4&lt;&gt;""),CEILING(Notentabelle!$C$11*RB_Daten!$A$4,0.5),"")</f>
        <v/>
      </c>
      <c r="F404" s="88">
        <f>IF(AND(INDEX(Klassenliste!$B$6:$B$40,24)&lt;&gt;0,RB_Daten!$A$4&lt;&gt;""),CEILING(Notentabelle!$C$8*RB_Daten!$A$4,0.5),"")</f>
        <v/>
      </c>
      <c r="G404" s="88">
        <f>IF(AND(INDEX(Klassenliste!$B$6:$B$40,24)&lt;&gt;0,RB_Daten!$A$4&lt;&gt;""),CEILING(Notentabelle!$C$5*RB_Daten!$A$4,0.5),"")</f>
        <v/>
      </c>
      <c r="H404" s="88">
        <f>IF(AND(INDEX(Klassenliste!$B$6:$B$40,24)&lt;&gt;0,RB_Daten!$A$4&lt;&gt;""),CEILING(0*RB_Daten!$A$4,0.5),"")</f>
        <v/>
      </c>
      <c r="O404" s="74" t="n"/>
    </row>
    <row r="405" ht="14" customHeight="1">
      <c r="B405" s="76" t="n"/>
      <c r="O405" s="74" t="n"/>
    </row>
    <row r="406" ht="110" customHeight="1">
      <c r="B406" s="89">
        <f>IF(INDEX(Klassenliste!$B$6:$B$40,24)&lt;&gt;0,"Lob / Hinweis:","")</f>
        <v/>
      </c>
      <c r="C406" s="90">
        <f>IF(INDEX(Klassenliste!$B$6:$B$40,24)&lt;&gt;0,RB_Daten!$R$28,"")</f>
        <v/>
      </c>
      <c r="D406" s="91" t="n"/>
      <c r="E406" s="91" t="n"/>
      <c r="F406" s="91" t="n"/>
      <c r="G406" s="91" t="n"/>
      <c r="H406" s="91" t="n"/>
      <c r="I406" s="91" t="n"/>
      <c r="J406" s="91" t="n"/>
      <c r="K406" s="91" t="n"/>
      <c r="L406" s="91" t="n"/>
      <c r="M406" s="91" t="n"/>
      <c r="N406" s="91" t="n"/>
      <c r="O406" s="74" t="n"/>
    </row>
    <row r="407" ht="22" customHeight="1">
      <c r="B407" s="87">
        <f>IF(INDEX(Klassenliste!$B$6:$B$40,24)&lt;&gt;0,"Unterschrift Erziehungsberechtigte/r:","")</f>
        <v/>
      </c>
      <c r="F407" s="92" t="n"/>
      <c r="G407" s="92" t="n"/>
      <c r="H407" s="92" t="n"/>
      <c r="I407" s="92" t="n"/>
      <c r="O407" s="74" t="n"/>
    </row>
    <row r="408" ht="8" customHeight="1">
      <c r="B408" s="93" t="n"/>
      <c r="C408" s="94" t="n"/>
      <c r="D408" s="94" t="n"/>
      <c r="E408" s="94" t="n"/>
      <c r="F408" s="94" t="n"/>
      <c r="G408" s="94" t="n"/>
      <c r="H408" s="94" t="n"/>
      <c r="I408" s="94" t="n"/>
      <c r="J408" s="94" t="n"/>
      <c r="K408" s="94" t="n"/>
      <c r="L408" s="94" t="n"/>
      <c r="M408" s="94" t="n"/>
      <c r="N408" s="94" t="n"/>
      <c r="O408" s="95" t="n"/>
    </row>
    <row r="409" ht="27.5" customHeight="1"/>
    <row r="410" ht="27.5" customHeight="1"/>
    <row r="411" ht="6" customHeight="1">
      <c r="B411" s="70" t="n"/>
      <c r="C411" s="71" t="n"/>
      <c r="D411" s="71" t="n"/>
      <c r="E411" s="71" t="n"/>
      <c r="F411" s="71" t="n"/>
      <c r="G411" s="71" t="n"/>
      <c r="H411" s="71" t="n"/>
      <c r="I411" s="71" t="n"/>
      <c r="J411" s="71" t="n"/>
      <c r="K411" s="71" t="n"/>
      <c r="L411" s="71" t="n"/>
      <c r="M411" s="71" t="n"/>
      <c r="N411" s="71" t="n"/>
      <c r="O411" s="72" t="n"/>
    </row>
    <row r="412" ht="20" customHeight="1">
      <c r="B412" s="73">
        <f>IF(INDEX(Klassenliste!$B$6:$B$40,25)&lt;&gt;0,"Klausur "&amp;$C$2&amp;" · "&amp;Klassenliste!$E$2&amp;" · "&amp;Klassenliste!$J$2&amp;IF(RB_Daten!$A$3="",""," · "&amp;RB_Daten!$A$3),"")</f>
        <v/>
      </c>
      <c r="J412" s="12">
        <f>IF(INDEX(Klassenliste!$B$6:$B$40,25)&lt;&gt;0,IF(RB_Daten!$A$2="","Datum: ______","Datum: "&amp;IFERROR(TEXT(RB_Daten!$A$2,"TT.MM.JJJJ"),RB_Daten!$A$2)),"")</f>
        <v/>
      </c>
      <c r="O412" s="74" t="n"/>
    </row>
    <row r="413" ht="20" customHeight="1">
      <c r="B413" s="75">
        <f>IF(INDEX(Klassenliste!$B$6:$B$40,25)&lt;&gt;0,"Name: "&amp;INDEX(Klassenliste!$C$6:$C$40,25)&amp;" "&amp;INDEX(Klassenliste!$B$6:$B$40,25),"")</f>
        <v/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74" t="n"/>
    </row>
    <row r="414" ht="8" customHeight="1">
      <c r="B414" s="76" t="n"/>
      <c r="O414" s="74" t="n"/>
    </row>
    <row r="415" ht="18" customHeight="1">
      <c r="B415" s="77">
        <f>IF(INDEX(Klassenliste!$B$6:$B$40,25)&lt;&gt;0,"Aufgabe","")</f>
        <v/>
      </c>
      <c r="C415" s="78">
        <f>IF(AND(INDEX(Klassenliste!$B$6:$B$40,25)&lt;&gt;0,NOT(OR(RB_Daten!B$3="",RB_Daten!B$3=0))),RB_Daten!B$2,"")</f>
        <v/>
      </c>
      <c r="D415" s="78">
        <f>IF(AND(INDEX(Klassenliste!$B$6:$B$40,25)&lt;&gt;0,NOT(OR(RB_Daten!C$3="",RB_Daten!C$3=0))),RB_Daten!C$2,"")</f>
        <v/>
      </c>
      <c r="E415" s="78">
        <f>IF(AND(INDEX(Klassenliste!$B$6:$B$40,25)&lt;&gt;0,NOT(OR(RB_Daten!D$3="",RB_Daten!D$3=0))),RB_Daten!D$2,"")</f>
        <v/>
      </c>
      <c r="F415" s="78">
        <f>IF(AND(INDEX(Klassenliste!$B$6:$B$40,25)&lt;&gt;0,NOT(OR(RB_Daten!E$3="",RB_Daten!E$3=0))),RB_Daten!E$2,"")</f>
        <v/>
      </c>
      <c r="G415" s="78">
        <f>IF(AND(INDEX(Klassenliste!$B$6:$B$40,25)&lt;&gt;0,NOT(OR(RB_Daten!F$3="",RB_Daten!F$3=0))),RB_Daten!F$2,"")</f>
        <v/>
      </c>
      <c r="H415" s="78">
        <f>IF(AND(INDEX(Klassenliste!$B$6:$B$40,25)&lt;&gt;0,NOT(OR(RB_Daten!G$3="",RB_Daten!G$3=0))),RB_Daten!G$2,"")</f>
        <v/>
      </c>
      <c r="I415" s="78">
        <f>IF(AND(INDEX(Klassenliste!$B$6:$B$40,25)&lt;&gt;0,NOT(OR(RB_Daten!H$3="",RB_Daten!H$3=0))),RB_Daten!H$2,"")</f>
        <v/>
      </c>
      <c r="J415" s="78">
        <f>IF(AND(INDEX(Klassenliste!$B$6:$B$40,25)&lt;&gt;0,NOT(OR(RB_Daten!I$3="",RB_Daten!I$3=0))),RB_Daten!I$2,"")</f>
        <v/>
      </c>
      <c r="K415" s="78">
        <f>IF(AND(INDEX(Klassenliste!$B$6:$B$40,25)&lt;&gt;0,NOT(OR(RB_Daten!J$3="",RB_Daten!J$3=0))),RB_Daten!J$2,"")</f>
        <v/>
      </c>
      <c r="L415" s="78">
        <f>IF(AND(INDEX(Klassenliste!$B$6:$B$40,25)&lt;&gt;0,NOT(OR(RB_Daten!K$3="",RB_Daten!K$3=0))),RB_Daten!K$2,"")</f>
        <v/>
      </c>
      <c r="M415" s="78">
        <f>IF(AND(INDEX(Klassenliste!$B$6:$B$40,25)&lt;&gt;0,NOT(OR(RB_Daten!L$3="",RB_Daten!L$3=0))),RB_Daten!L$2,"")</f>
        <v/>
      </c>
      <c r="N415" s="78">
        <f>IF(AND(INDEX(Klassenliste!$B$6:$B$40,25)&lt;&gt;0,NOT(OR(RB_Daten!M$3="",RB_Daten!M$3=0))),RB_Daten!M$2,"")</f>
        <v/>
      </c>
      <c r="O415" s="79">
        <f>IF(INDEX(Klassenliste!$B$6:$B$40,25)&lt;&gt;0,"Gesamt","")</f>
        <v/>
      </c>
    </row>
    <row r="416" ht="18" customHeight="1">
      <c r="B416" s="80">
        <f>IF(INDEX(Klassenliste!$B$6:$B$40,25)&lt;&gt;0,"max. Punkte","")</f>
        <v/>
      </c>
      <c r="C416" s="81">
        <f>IF(AND(INDEX(Klassenliste!$B$6:$B$40,25)&lt;&gt;0,NOT(OR(RB_Daten!B$3="",RB_Daten!B$3=0))),RB_Daten!B$3,"")</f>
        <v/>
      </c>
      <c r="D416" s="81">
        <f>IF(AND(INDEX(Klassenliste!$B$6:$B$40,25)&lt;&gt;0,NOT(OR(RB_Daten!C$3="",RB_Daten!C$3=0))),RB_Daten!C$3,"")</f>
        <v/>
      </c>
      <c r="E416" s="81">
        <f>IF(AND(INDEX(Klassenliste!$B$6:$B$40,25)&lt;&gt;0,NOT(OR(RB_Daten!D$3="",RB_Daten!D$3=0))),RB_Daten!D$3,"")</f>
        <v/>
      </c>
      <c r="F416" s="81">
        <f>IF(AND(INDEX(Klassenliste!$B$6:$B$40,25)&lt;&gt;0,NOT(OR(RB_Daten!E$3="",RB_Daten!E$3=0))),RB_Daten!E$3,"")</f>
        <v/>
      </c>
      <c r="G416" s="81">
        <f>IF(AND(INDEX(Klassenliste!$B$6:$B$40,25)&lt;&gt;0,NOT(OR(RB_Daten!F$3="",RB_Daten!F$3=0))),RB_Daten!F$3,"")</f>
        <v/>
      </c>
      <c r="H416" s="81">
        <f>IF(AND(INDEX(Klassenliste!$B$6:$B$40,25)&lt;&gt;0,NOT(OR(RB_Daten!G$3="",RB_Daten!G$3=0))),RB_Daten!G$3,"")</f>
        <v/>
      </c>
      <c r="I416" s="81">
        <f>IF(AND(INDEX(Klassenliste!$B$6:$B$40,25)&lt;&gt;0,NOT(OR(RB_Daten!H$3="",RB_Daten!H$3=0))),RB_Daten!H$3,"")</f>
        <v/>
      </c>
      <c r="J416" s="81">
        <f>IF(AND(INDEX(Klassenliste!$B$6:$B$40,25)&lt;&gt;0,NOT(OR(RB_Daten!I$3="",RB_Daten!I$3=0))),RB_Daten!I$3,"")</f>
        <v/>
      </c>
      <c r="K416" s="81">
        <f>IF(AND(INDEX(Klassenliste!$B$6:$B$40,25)&lt;&gt;0,NOT(OR(RB_Daten!J$3="",RB_Daten!J$3=0))),RB_Daten!J$3,"")</f>
        <v/>
      </c>
      <c r="L416" s="81">
        <f>IF(AND(INDEX(Klassenliste!$B$6:$B$40,25)&lt;&gt;0,NOT(OR(RB_Daten!K$3="",RB_Daten!K$3=0))),RB_Daten!K$3,"")</f>
        <v/>
      </c>
      <c r="M416" s="81">
        <f>IF(AND(INDEX(Klassenliste!$B$6:$B$40,25)&lt;&gt;0,NOT(OR(RB_Daten!L$3="",RB_Daten!L$3=0))),RB_Daten!L$3,"")</f>
        <v/>
      </c>
      <c r="N416" s="81">
        <f>IF(AND(INDEX(Klassenliste!$B$6:$B$40,25)&lt;&gt;0,NOT(OR(RB_Daten!M$3="",RB_Daten!M$3=0))),RB_Daten!M$3,"")</f>
        <v/>
      </c>
      <c r="O416" s="82">
        <f>IF(INDEX(Klassenliste!$B$6:$B$40,25)&lt;&gt;0,IF(RB_Daten!$A$4="","",RB_Daten!$A$4),"")</f>
        <v/>
      </c>
    </row>
    <row r="417" ht="18" customHeight="1">
      <c r="B417" s="83">
        <f>IF(INDEX(Klassenliste!$B$6:$B$40,25)&lt;&gt;0,"erreicht","")</f>
        <v/>
      </c>
      <c r="C417" s="84">
        <f>IF(AND(INDEX(Klassenliste!$B$6:$B$40,25)&lt;&gt;0,NOT(OR(RB_Daten!B$3="",RB_Daten!B$3=0))),IF(RB_Daten!B$29="","",RB_Daten!B$29),"")</f>
        <v/>
      </c>
      <c r="D417" s="84">
        <f>IF(AND(INDEX(Klassenliste!$B$6:$B$40,25)&lt;&gt;0,NOT(OR(RB_Daten!C$3="",RB_Daten!C$3=0))),IF(RB_Daten!C$29="","",RB_Daten!C$29),"")</f>
        <v/>
      </c>
      <c r="E417" s="84">
        <f>IF(AND(INDEX(Klassenliste!$B$6:$B$40,25)&lt;&gt;0,NOT(OR(RB_Daten!D$3="",RB_Daten!D$3=0))),IF(RB_Daten!D$29="","",RB_Daten!D$29),"")</f>
        <v/>
      </c>
      <c r="F417" s="84">
        <f>IF(AND(INDEX(Klassenliste!$B$6:$B$40,25)&lt;&gt;0,NOT(OR(RB_Daten!E$3="",RB_Daten!E$3=0))),IF(RB_Daten!E$29="","",RB_Daten!E$29),"")</f>
        <v/>
      </c>
      <c r="G417" s="84">
        <f>IF(AND(INDEX(Klassenliste!$B$6:$B$40,25)&lt;&gt;0,NOT(OR(RB_Daten!F$3="",RB_Daten!F$3=0))),IF(RB_Daten!F$29="","",RB_Daten!F$29),"")</f>
        <v/>
      </c>
      <c r="H417" s="84">
        <f>IF(AND(INDEX(Klassenliste!$B$6:$B$40,25)&lt;&gt;0,NOT(OR(RB_Daten!G$3="",RB_Daten!G$3=0))),IF(RB_Daten!G$29="","",RB_Daten!G$29),"")</f>
        <v/>
      </c>
      <c r="I417" s="84">
        <f>IF(AND(INDEX(Klassenliste!$B$6:$B$40,25)&lt;&gt;0,NOT(OR(RB_Daten!H$3="",RB_Daten!H$3=0))),IF(RB_Daten!H$29="","",RB_Daten!H$29),"")</f>
        <v/>
      </c>
      <c r="J417" s="84">
        <f>IF(AND(INDEX(Klassenliste!$B$6:$B$40,25)&lt;&gt;0,NOT(OR(RB_Daten!I$3="",RB_Daten!I$3=0))),IF(RB_Daten!I$29="","",RB_Daten!I$29),"")</f>
        <v/>
      </c>
      <c r="K417" s="84">
        <f>IF(AND(INDEX(Klassenliste!$B$6:$B$40,25)&lt;&gt;0,NOT(OR(RB_Daten!J$3="",RB_Daten!J$3=0))),IF(RB_Daten!J$29="","",RB_Daten!J$29),"")</f>
        <v/>
      </c>
      <c r="L417" s="84">
        <f>IF(AND(INDEX(Klassenliste!$B$6:$B$40,25)&lt;&gt;0,NOT(OR(RB_Daten!K$3="",RB_Daten!K$3=0))),IF(RB_Daten!K$29="","",RB_Daten!K$29),"")</f>
        <v/>
      </c>
      <c r="M417" s="84">
        <f>IF(AND(INDEX(Klassenliste!$B$6:$B$40,25)&lt;&gt;0,NOT(OR(RB_Daten!L$3="",RB_Daten!L$3=0))),IF(RB_Daten!L$29="","",RB_Daten!L$29),"")</f>
        <v/>
      </c>
      <c r="N417" s="84">
        <f>IF(AND(INDEX(Klassenliste!$B$6:$B$40,25)&lt;&gt;0,NOT(OR(RB_Daten!M$3="",RB_Daten!M$3=0))),IF(RB_Daten!M$29="","",RB_Daten!M$29),"")</f>
        <v/>
      </c>
      <c r="O417" s="85">
        <f>IF(INDEX(Klassenliste!$B$6:$B$40,25)&lt;&gt;0,IF(RB_Daten!$N29="","",RB_Daten!$N29),"")</f>
        <v/>
      </c>
    </row>
    <row r="418" ht="10" customHeight="1">
      <c r="B418" s="76" t="n"/>
      <c r="O418" s="74" t="n"/>
    </row>
    <row r="419" ht="24" customHeight="1">
      <c r="B419" s="73">
        <f>IF(INDEX(Klassenliste!$B$6:$B$40,25)&lt;&gt;0,IF(RB_Daten!$O29="","Ergebnis: –","Ergebnis: "&amp;ROUND(RB_Daten!$O29*100,1)&amp;" %"),"")</f>
        <v/>
      </c>
      <c r="F419" s="86">
        <f>IF(INDEX(Klassenliste!$B$6:$B$40,25)&lt;&gt;0,IF(RB_Daten!$P29="","Punkte: –","Punkte: "&amp;RB_Daten!$P29&amp;"  ("&amp;RB_Daten!$Q29&amp;")"),"")</f>
        <v/>
      </c>
      <c r="O419" s="74" t="n"/>
    </row>
    <row r="420" ht="16" customHeight="1">
      <c r="B420" s="87">
        <f>IF(INDEX(Klassenliste!$B$6:$B$40,25)&lt;&gt;0,"Notenschlüssel:","")</f>
        <v/>
      </c>
      <c r="C420" s="46">
        <f>IF(INDEX(Klassenliste!$B$6:$B$40,25)&lt;&gt;0,"Note 1","")</f>
        <v/>
      </c>
      <c r="D420" s="46">
        <f>IF(INDEX(Klassenliste!$B$6:$B$40,25)&lt;&gt;0,"Note 2","")</f>
        <v/>
      </c>
      <c r="E420" s="46">
        <f>IF(INDEX(Klassenliste!$B$6:$B$40,25)&lt;&gt;0,"Note 3","")</f>
        <v/>
      </c>
      <c r="F420" s="46">
        <f>IF(INDEX(Klassenliste!$B$6:$B$40,25)&lt;&gt;0,"Note 4","")</f>
        <v/>
      </c>
      <c r="G420" s="46">
        <f>IF(INDEX(Klassenliste!$B$6:$B$40,25)&lt;&gt;0,"Note 5","")</f>
        <v/>
      </c>
      <c r="H420" s="46">
        <f>IF(INDEX(Klassenliste!$B$6:$B$40,25)&lt;&gt;0,"Note 6","")</f>
        <v/>
      </c>
      <c r="O420" s="74" t="n"/>
    </row>
    <row r="421" ht="16" customHeight="1">
      <c r="B421" s="87">
        <f>IF(INDEX(Klassenliste!$B$6:$B$40,25)&lt;&gt;0,"ab Punkten:","")</f>
        <v/>
      </c>
      <c r="C421" s="88">
        <f>IF(AND(INDEX(Klassenliste!$B$6:$B$40,25)&lt;&gt;0,RB_Daten!$A$4&lt;&gt;""),CEILING(Notentabelle!$C$17*RB_Daten!$A$4,0.5),"")</f>
        <v/>
      </c>
      <c r="D421" s="88">
        <f>IF(AND(INDEX(Klassenliste!$B$6:$B$40,25)&lt;&gt;0,RB_Daten!$A$4&lt;&gt;""),CEILING(Notentabelle!$C$14*RB_Daten!$A$4,0.5),"")</f>
        <v/>
      </c>
      <c r="E421" s="88">
        <f>IF(AND(INDEX(Klassenliste!$B$6:$B$40,25)&lt;&gt;0,RB_Daten!$A$4&lt;&gt;""),CEILING(Notentabelle!$C$11*RB_Daten!$A$4,0.5),"")</f>
        <v/>
      </c>
      <c r="F421" s="88">
        <f>IF(AND(INDEX(Klassenliste!$B$6:$B$40,25)&lt;&gt;0,RB_Daten!$A$4&lt;&gt;""),CEILING(Notentabelle!$C$8*RB_Daten!$A$4,0.5),"")</f>
        <v/>
      </c>
      <c r="G421" s="88">
        <f>IF(AND(INDEX(Klassenliste!$B$6:$B$40,25)&lt;&gt;0,RB_Daten!$A$4&lt;&gt;""),CEILING(Notentabelle!$C$5*RB_Daten!$A$4,0.5),"")</f>
        <v/>
      </c>
      <c r="H421" s="88">
        <f>IF(AND(INDEX(Klassenliste!$B$6:$B$40,25)&lt;&gt;0,RB_Daten!$A$4&lt;&gt;""),CEILING(0*RB_Daten!$A$4,0.5),"")</f>
        <v/>
      </c>
      <c r="O421" s="74" t="n"/>
    </row>
    <row r="422" ht="14" customHeight="1">
      <c r="B422" s="76" t="n"/>
      <c r="O422" s="74" t="n"/>
    </row>
    <row r="423" ht="110" customHeight="1">
      <c r="B423" s="89">
        <f>IF(INDEX(Klassenliste!$B$6:$B$40,25)&lt;&gt;0,"Lob / Hinweis:","")</f>
        <v/>
      </c>
      <c r="C423" s="90">
        <f>IF(INDEX(Klassenliste!$B$6:$B$40,25)&lt;&gt;0,RB_Daten!$R$29,"")</f>
        <v/>
      </c>
      <c r="D423" s="91" t="n"/>
      <c r="E423" s="91" t="n"/>
      <c r="F423" s="91" t="n"/>
      <c r="G423" s="91" t="n"/>
      <c r="H423" s="91" t="n"/>
      <c r="I423" s="91" t="n"/>
      <c r="J423" s="91" t="n"/>
      <c r="K423" s="91" t="n"/>
      <c r="L423" s="91" t="n"/>
      <c r="M423" s="91" t="n"/>
      <c r="N423" s="91" t="n"/>
      <c r="O423" s="74" t="n"/>
    </row>
    <row r="424" ht="22" customHeight="1">
      <c r="B424" s="87">
        <f>IF(INDEX(Klassenliste!$B$6:$B$40,25)&lt;&gt;0,"Unterschrift Erziehungsberechtigte/r:","")</f>
        <v/>
      </c>
      <c r="F424" s="92" t="n"/>
      <c r="G424" s="92" t="n"/>
      <c r="H424" s="92" t="n"/>
      <c r="I424" s="92" t="n"/>
      <c r="O424" s="74" t="n"/>
    </row>
    <row r="425" ht="8" customHeight="1">
      <c r="B425" s="93" t="n"/>
      <c r="C425" s="94" t="n"/>
      <c r="D425" s="94" t="n"/>
      <c r="E425" s="94" t="n"/>
      <c r="F425" s="94" t="n"/>
      <c r="G425" s="94" t="n"/>
      <c r="H425" s="94" t="n"/>
      <c r="I425" s="94" t="n"/>
      <c r="J425" s="94" t="n"/>
      <c r="K425" s="94" t="n"/>
      <c r="L425" s="94" t="n"/>
      <c r="M425" s="94" t="n"/>
      <c r="N425" s="94" t="n"/>
      <c r="O425" s="95" t="n"/>
    </row>
    <row r="426" ht="27.5" customHeight="1"/>
    <row r="427" ht="27.5" customHeight="1"/>
    <row r="428" ht="6" customHeight="1">
      <c r="B428" s="70" t="n"/>
      <c r="C428" s="71" t="n"/>
      <c r="D428" s="71" t="n"/>
      <c r="E428" s="71" t="n"/>
      <c r="F428" s="71" t="n"/>
      <c r="G428" s="71" t="n"/>
      <c r="H428" s="71" t="n"/>
      <c r="I428" s="71" t="n"/>
      <c r="J428" s="71" t="n"/>
      <c r="K428" s="71" t="n"/>
      <c r="L428" s="71" t="n"/>
      <c r="M428" s="71" t="n"/>
      <c r="N428" s="71" t="n"/>
      <c r="O428" s="72" t="n"/>
    </row>
    <row r="429" ht="20" customHeight="1">
      <c r="B429" s="73">
        <f>IF(INDEX(Klassenliste!$B$6:$B$40,26)&lt;&gt;0,"Klausur "&amp;$C$2&amp;" · "&amp;Klassenliste!$E$2&amp;" · "&amp;Klassenliste!$J$2&amp;IF(RB_Daten!$A$3="",""," · "&amp;RB_Daten!$A$3),"")</f>
        <v/>
      </c>
      <c r="J429" s="12">
        <f>IF(INDEX(Klassenliste!$B$6:$B$40,26)&lt;&gt;0,IF(RB_Daten!$A$2="","Datum: ______","Datum: "&amp;IFERROR(TEXT(RB_Daten!$A$2,"TT.MM.JJJJ"),RB_Daten!$A$2)),"")</f>
        <v/>
      </c>
      <c r="O429" s="74" t="n"/>
    </row>
    <row r="430" ht="20" customHeight="1">
      <c r="B430" s="75">
        <f>IF(INDEX(Klassenliste!$B$6:$B$40,26)&lt;&gt;0,"Name: "&amp;INDEX(Klassenliste!$C$6:$C$40,26)&amp;" "&amp;INDEX(Klassenliste!$B$6:$B$40,26),"")</f>
        <v/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74" t="n"/>
    </row>
    <row r="431" ht="8" customHeight="1">
      <c r="B431" s="76" t="n"/>
      <c r="O431" s="74" t="n"/>
    </row>
    <row r="432" ht="18" customHeight="1">
      <c r="B432" s="77">
        <f>IF(INDEX(Klassenliste!$B$6:$B$40,26)&lt;&gt;0,"Aufgabe","")</f>
        <v/>
      </c>
      <c r="C432" s="78">
        <f>IF(AND(INDEX(Klassenliste!$B$6:$B$40,26)&lt;&gt;0,NOT(OR(RB_Daten!B$3="",RB_Daten!B$3=0))),RB_Daten!B$2,"")</f>
        <v/>
      </c>
      <c r="D432" s="78">
        <f>IF(AND(INDEX(Klassenliste!$B$6:$B$40,26)&lt;&gt;0,NOT(OR(RB_Daten!C$3="",RB_Daten!C$3=0))),RB_Daten!C$2,"")</f>
        <v/>
      </c>
      <c r="E432" s="78">
        <f>IF(AND(INDEX(Klassenliste!$B$6:$B$40,26)&lt;&gt;0,NOT(OR(RB_Daten!D$3="",RB_Daten!D$3=0))),RB_Daten!D$2,"")</f>
        <v/>
      </c>
      <c r="F432" s="78">
        <f>IF(AND(INDEX(Klassenliste!$B$6:$B$40,26)&lt;&gt;0,NOT(OR(RB_Daten!E$3="",RB_Daten!E$3=0))),RB_Daten!E$2,"")</f>
        <v/>
      </c>
      <c r="G432" s="78">
        <f>IF(AND(INDEX(Klassenliste!$B$6:$B$40,26)&lt;&gt;0,NOT(OR(RB_Daten!F$3="",RB_Daten!F$3=0))),RB_Daten!F$2,"")</f>
        <v/>
      </c>
      <c r="H432" s="78">
        <f>IF(AND(INDEX(Klassenliste!$B$6:$B$40,26)&lt;&gt;0,NOT(OR(RB_Daten!G$3="",RB_Daten!G$3=0))),RB_Daten!G$2,"")</f>
        <v/>
      </c>
      <c r="I432" s="78">
        <f>IF(AND(INDEX(Klassenliste!$B$6:$B$40,26)&lt;&gt;0,NOT(OR(RB_Daten!H$3="",RB_Daten!H$3=0))),RB_Daten!H$2,"")</f>
        <v/>
      </c>
      <c r="J432" s="78">
        <f>IF(AND(INDEX(Klassenliste!$B$6:$B$40,26)&lt;&gt;0,NOT(OR(RB_Daten!I$3="",RB_Daten!I$3=0))),RB_Daten!I$2,"")</f>
        <v/>
      </c>
      <c r="K432" s="78">
        <f>IF(AND(INDEX(Klassenliste!$B$6:$B$40,26)&lt;&gt;0,NOT(OR(RB_Daten!J$3="",RB_Daten!J$3=0))),RB_Daten!J$2,"")</f>
        <v/>
      </c>
      <c r="L432" s="78">
        <f>IF(AND(INDEX(Klassenliste!$B$6:$B$40,26)&lt;&gt;0,NOT(OR(RB_Daten!K$3="",RB_Daten!K$3=0))),RB_Daten!K$2,"")</f>
        <v/>
      </c>
      <c r="M432" s="78">
        <f>IF(AND(INDEX(Klassenliste!$B$6:$B$40,26)&lt;&gt;0,NOT(OR(RB_Daten!L$3="",RB_Daten!L$3=0))),RB_Daten!L$2,"")</f>
        <v/>
      </c>
      <c r="N432" s="78">
        <f>IF(AND(INDEX(Klassenliste!$B$6:$B$40,26)&lt;&gt;0,NOT(OR(RB_Daten!M$3="",RB_Daten!M$3=0))),RB_Daten!M$2,"")</f>
        <v/>
      </c>
      <c r="O432" s="79">
        <f>IF(INDEX(Klassenliste!$B$6:$B$40,26)&lt;&gt;0,"Gesamt","")</f>
        <v/>
      </c>
    </row>
    <row r="433" ht="18" customHeight="1">
      <c r="B433" s="80">
        <f>IF(INDEX(Klassenliste!$B$6:$B$40,26)&lt;&gt;0,"max. Punkte","")</f>
        <v/>
      </c>
      <c r="C433" s="81">
        <f>IF(AND(INDEX(Klassenliste!$B$6:$B$40,26)&lt;&gt;0,NOT(OR(RB_Daten!B$3="",RB_Daten!B$3=0))),RB_Daten!B$3,"")</f>
        <v/>
      </c>
      <c r="D433" s="81">
        <f>IF(AND(INDEX(Klassenliste!$B$6:$B$40,26)&lt;&gt;0,NOT(OR(RB_Daten!C$3="",RB_Daten!C$3=0))),RB_Daten!C$3,"")</f>
        <v/>
      </c>
      <c r="E433" s="81">
        <f>IF(AND(INDEX(Klassenliste!$B$6:$B$40,26)&lt;&gt;0,NOT(OR(RB_Daten!D$3="",RB_Daten!D$3=0))),RB_Daten!D$3,"")</f>
        <v/>
      </c>
      <c r="F433" s="81">
        <f>IF(AND(INDEX(Klassenliste!$B$6:$B$40,26)&lt;&gt;0,NOT(OR(RB_Daten!E$3="",RB_Daten!E$3=0))),RB_Daten!E$3,"")</f>
        <v/>
      </c>
      <c r="G433" s="81">
        <f>IF(AND(INDEX(Klassenliste!$B$6:$B$40,26)&lt;&gt;0,NOT(OR(RB_Daten!F$3="",RB_Daten!F$3=0))),RB_Daten!F$3,"")</f>
        <v/>
      </c>
      <c r="H433" s="81">
        <f>IF(AND(INDEX(Klassenliste!$B$6:$B$40,26)&lt;&gt;0,NOT(OR(RB_Daten!G$3="",RB_Daten!G$3=0))),RB_Daten!G$3,"")</f>
        <v/>
      </c>
      <c r="I433" s="81">
        <f>IF(AND(INDEX(Klassenliste!$B$6:$B$40,26)&lt;&gt;0,NOT(OR(RB_Daten!H$3="",RB_Daten!H$3=0))),RB_Daten!H$3,"")</f>
        <v/>
      </c>
      <c r="J433" s="81">
        <f>IF(AND(INDEX(Klassenliste!$B$6:$B$40,26)&lt;&gt;0,NOT(OR(RB_Daten!I$3="",RB_Daten!I$3=0))),RB_Daten!I$3,"")</f>
        <v/>
      </c>
      <c r="K433" s="81">
        <f>IF(AND(INDEX(Klassenliste!$B$6:$B$40,26)&lt;&gt;0,NOT(OR(RB_Daten!J$3="",RB_Daten!J$3=0))),RB_Daten!J$3,"")</f>
        <v/>
      </c>
      <c r="L433" s="81">
        <f>IF(AND(INDEX(Klassenliste!$B$6:$B$40,26)&lt;&gt;0,NOT(OR(RB_Daten!K$3="",RB_Daten!K$3=0))),RB_Daten!K$3,"")</f>
        <v/>
      </c>
      <c r="M433" s="81">
        <f>IF(AND(INDEX(Klassenliste!$B$6:$B$40,26)&lt;&gt;0,NOT(OR(RB_Daten!L$3="",RB_Daten!L$3=0))),RB_Daten!L$3,"")</f>
        <v/>
      </c>
      <c r="N433" s="81">
        <f>IF(AND(INDEX(Klassenliste!$B$6:$B$40,26)&lt;&gt;0,NOT(OR(RB_Daten!M$3="",RB_Daten!M$3=0))),RB_Daten!M$3,"")</f>
        <v/>
      </c>
      <c r="O433" s="82">
        <f>IF(INDEX(Klassenliste!$B$6:$B$40,26)&lt;&gt;0,IF(RB_Daten!$A$4="","",RB_Daten!$A$4),"")</f>
        <v/>
      </c>
    </row>
    <row r="434" ht="18" customHeight="1">
      <c r="B434" s="83">
        <f>IF(INDEX(Klassenliste!$B$6:$B$40,26)&lt;&gt;0,"erreicht","")</f>
        <v/>
      </c>
      <c r="C434" s="84">
        <f>IF(AND(INDEX(Klassenliste!$B$6:$B$40,26)&lt;&gt;0,NOT(OR(RB_Daten!B$3="",RB_Daten!B$3=0))),IF(RB_Daten!B$30="","",RB_Daten!B$30),"")</f>
        <v/>
      </c>
      <c r="D434" s="84">
        <f>IF(AND(INDEX(Klassenliste!$B$6:$B$40,26)&lt;&gt;0,NOT(OR(RB_Daten!C$3="",RB_Daten!C$3=0))),IF(RB_Daten!C$30="","",RB_Daten!C$30),"")</f>
        <v/>
      </c>
      <c r="E434" s="84">
        <f>IF(AND(INDEX(Klassenliste!$B$6:$B$40,26)&lt;&gt;0,NOT(OR(RB_Daten!D$3="",RB_Daten!D$3=0))),IF(RB_Daten!D$30="","",RB_Daten!D$30),"")</f>
        <v/>
      </c>
      <c r="F434" s="84">
        <f>IF(AND(INDEX(Klassenliste!$B$6:$B$40,26)&lt;&gt;0,NOT(OR(RB_Daten!E$3="",RB_Daten!E$3=0))),IF(RB_Daten!E$30="","",RB_Daten!E$30),"")</f>
        <v/>
      </c>
      <c r="G434" s="84">
        <f>IF(AND(INDEX(Klassenliste!$B$6:$B$40,26)&lt;&gt;0,NOT(OR(RB_Daten!F$3="",RB_Daten!F$3=0))),IF(RB_Daten!F$30="","",RB_Daten!F$30),"")</f>
        <v/>
      </c>
      <c r="H434" s="84">
        <f>IF(AND(INDEX(Klassenliste!$B$6:$B$40,26)&lt;&gt;0,NOT(OR(RB_Daten!G$3="",RB_Daten!G$3=0))),IF(RB_Daten!G$30="","",RB_Daten!G$30),"")</f>
        <v/>
      </c>
      <c r="I434" s="84">
        <f>IF(AND(INDEX(Klassenliste!$B$6:$B$40,26)&lt;&gt;0,NOT(OR(RB_Daten!H$3="",RB_Daten!H$3=0))),IF(RB_Daten!H$30="","",RB_Daten!H$30),"")</f>
        <v/>
      </c>
      <c r="J434" s="84">
        <f>IF(AND(INDEX(Klassenliste!$B$6:$B$40,26)&lt;&gt;0,NOT(OR(RB_Daten!I$3="",RB_Daten!I$3=0))),IF(RB_Daten!I$30="","",RB_Daten!I$30),"")</f>
        <v/>
      </c>
      <c r="K434" s="84">
        <f>IF(AND(INDEX(Klassenliste!$B$6:$B$40,26)&lt;&gt;0,NOT(OR(RB_Daten!J$3="",RB_Daten!J$3=0))),IF(RB_Daten!J$30="","",RB_Daten!J$30),"")</f>
        <v/>
      </c>
      <c r="L434" s="84">
        <f>IF(AND(INDEX(Klassenliste!$B$6:$B$40,26)&lt;&gt;0,NOT(OR(RB_Daten!K$3="",RB_Daten!K$3=0))),IF(RB_Daten!K$30="","",RB_Daten!K$30),"")</f>
        <v/>
      </c>
      <c r="M434" s="84">
        <f>IF(AND(INDEX(Klassenliste!$B$6:$B$40,26)&lt;&gt;0,NOT(OR(RB_Daten!L$3="",RB_Daten!L$3=0))),IF(RB_Daten!L$30="","",RB_Daten!L$30),"")</f>
        <v/>
      </c>
      <c r="N434" s="84">
        <f>IF(AND(INDEX(Klassenliste!$B$6:$B$40,26)&lt;&gt;0,NOT(OR(RB_Daten!M$3="",RB_Daten!M$3=0))),IF(RB_Daten!M$30="","",RB_Daten!M$30),"")</f>
        <v/>
      </c>
      <c r="O434" s="85">
        <f>IF(INDEX(Klassenliste!$B$6:$B$40,26)&lt;&gt;0,IF(RB_Daten!$N30="","",RB_Daten!$N30),"")</f>
        <v/>
      </c>
    </row>
    <row r="435" ht="10" customHeight="1">
      <c r="B435" s="76" t="n"/>
      <c r="O435" s="74" t="n"/>
    </row>
    <row r="436" ht="24" customHeight="1">
      <c r="B436" s="73">
        <f>IF(INDEX(Klassenliste!$B$6:$B$40,26)&lt;&gt;0,IF(RB_Daten!$O30="","Ergebnis: –","Ergebnis: "&amp;ROUND(RB_Daten!$O30*100,1)&amp;" %"),"")</f>
        <v/>
      </c>
      <c r="F436" s="86">
        <f>IF(INDEX(Klassenliste!$B$6:$B$40,26)&lt;&gt;0,IF(RB_Daten!$P30="","Punkte: –","Punkte: "&amp;RB_Daten!$P30&amp;"  ("&amp;RB_Daten!$Q30&amp;")"),"")</f>
        <v/>
      </c>
      <c r="O436" s="74" t="n"/>
    </row>
    <row r="437" ht="16" customHeight="1">
      <c r="B437" s="87">
        <f>IF(INDEX(Klassenliste!$B$6:$B$40,26)&lt;&gt;0,"Notenschlüssel:","")</f>
        <v/>
      </c>
      <c r="C437" s="46">
        <f>IF(INDEX(Klassenliste!$B$6:$B$40,26)&lt;&gt;0,"Note 1","")</f>
        <v/>
      </c>
      <c r="D437" s="46">
        <f>IF(INDEX(Klassenliste!$B$6:$B$40,26)&lt;&gt;0,"Note 2","")</f>
        <v/>
      </c>
      <c r="E437" s="46">
        <f>IF(INDEX(Klassenliste!$B$6:$B$40,26)&lt;&gt;0,"Note 3","")</f>
        <v/>
      </c>
      <c r="F437" s="46">
        <f>IF(INDEX(Klassenliste!$B$6:$B$40,26)&lt;&gt;0,"Note 4","")</f>
        <v/>
      </c>
      <c r="G437" s="46">
        <f>IF(INDEX(Klassenliste!$B$6:$B$40,26)&lt;&gt;0,"Note 5","")</f>
        <v/>
      </c>
      <c r="H437" s="46">
        <f>IF(INDEX(Klassenliste!$B$6:$B$40,26)&lt;&gt;0,"Note 6","")</f>
        <v/>
      </c>
      <c r="O437" s="74" t="n"/>
    </row>
    <row r="438" ht="16" customHeight="1">
      <c r="B438" s="87">
        <f>IF(INDEX(Klassenliste!$B$6:$B$40,26)&lt;&gt;0,"ab Punkten:","")</f>
        <v/>
      </c>
      <c r="C438" s="88">
        <f>IF(AND(INDEX(Klassenliste!$B$6:$B$40,26)&lt;&gt;0,RB_Daten!$A$4&lt;&gt;""),CEILING(Notentabelle!$C$17*RB_Daten!$A$4,0.5),"")</f>
        <v/>
      </c>
      <c r="D438" s="88">
        <f>IF(AND(INDEX(Klassenliste!$B$6:$B$40,26)&lt;&gt;0,RB_Daten!$A$4&lt;&gt;""),CEILING(Notentabelle!$C$14*RB_Daten!$A$4,0.5),"")</f>
        <v/>
      </c>
      <c r="E438" s="88">
        <f>IF(AND(INDEX(Klassenliste!$B$6:$B$40,26)&lt;&gt;0,RB_Daten!$A$4&lt;&gt;""),CEILING(Notentabelle!$C$11*RB_Daten!$A$4,0.5),"")</f>
        <v/>
      </c>
      <c r="F438" s="88">
        <f>IF(AND(INDEX(Klassenliste!$B$6:$B$40,26)&lt;&gt;0,RB_Daten!$A$4&lt;&gt;""),CEILING(Notentabelle!$C$8*RB_Daten!$A$4,0.5),"")</f>
        <v/>
      </c>
      <c r="G438" s="88">
        <f>IF(AND(INDEX(Klassenliste!$B$6:$B$40,26)&lt;&gt;0,RB_Daten!$A$4&lt;&gt;""),CEILING(Notentabelle!$C$5*RB_Daten!$A$4,0.5),"")</f>
        <v/>
      </c>
      <c r="H438" s="88">
        <f>IF(AND(INDEX(Klassenliste!$B$6:$B$40,26)&lt;&gt;0,RB_Daten!$A$4&lt;&gt;""),CEILING(0*RB_Daten!$A$4,0.5),"")</f>
        <v/>
      </c>
      <c r="O438" s="74" t="n"/>
    </row>
    <row r="439" ht="14" customHeight="1">
      <c r="B439" s="76" t="n"/>
      <c r="O439" s="74" t="n"/>
    </row>
    <row r="440" ht="110" customHeight="1">
      <c r="B440" s="89">
        <f>IF(INDEX(Klassenliste!$B$6:$B$40,26)&lt;&gt;0,"Lob / Hinweis:","")</f>
        <v/>
      </c>
      <c r="C440" s="90">
        <f>IF(INDEX(Klassenliste!$B$6:$B$40,26)&lt;&gt;0,RB_Daten!$R$30,"")</f>
        <v/>
      </c>
      <c r="D440" s="91" t="n"/>
      <c r="E440" s="91" t="n"/>
      <c r="F440" s="91" t="n"/>
      <c r="G440" s="91" t="n"/>
      <c r="H440" s="91" t="n"/>
      <c r="I440" s="91" t="n"/>
      <c r="J440" s="91" t="n"/>
      <c r="K440" s="91" t="n"/>
      <c r="L440" s="91" t="n"/>
      <c r="M440" s="91" t="n"/>
      <c r="N440" s="91" t="n"/>
      <c r="O440" s="74" t="n"/>
    </row>
    <row r="441" ht="22" customHeight="1">
      <c r="B441" s="87">
        <f>IF(INDEX(Klassenliste!$B$6:$B$40,26)&lt;&gt;0,"Unterschrift Erziehungsberechtigte/r:","")</f>
        <v/>
      </c>
      <c r="F441" s="92" t="n"/>
      <c r="G441" s="92" t="n"/>
      <c r="H441" s="92" t="n"/>
      <c r="I441" s="92" t="n"/>
      <c r="O441" s="74" t="n"/>
    </row>
    <row r="442" ht="8" customHeight="1">
      <c r="B442" s="93" t="n"/>
      <c r="C442" s="94" t="n"/>
      <c r="D442" s="94" t="n"/>
      <c r="E442" s="94" t="n"/>
      <c r="F442" s="94" t="n"/>
      <c r="G442" s="94" t="n"/>
      <c r="H442" s="94" t="n"/>
      <c r="I442" s="94" t="n"/>
      <c r="J442" s="94" t="n"/>
      <c r="K442" s="94" t="n"/>
      <c r="L442" s="94" t="n"/>
      <c r="M442" s="94" t="n"/>
      <c r="N442" s="94" t="n"/>
      <c r="O442" s="95" t="n"/>
    </row>
    <row r="443" ht="27.5" customHeight="1"/>
    <row r="444" ht="27.5" customHeight="1"/>
    <row r="445" ht="6" customHeight="1">
      <c r="B445" s="70" t="n"/>
      <c r="C445" s="71" t="n"/>
      <c r="D445" s="71" t="n"/>
      <c r="E445" s="71" t="n"/>
      <c r="F445" s="71" t="n"/>
      <c r="G445" s="71" t="n"/>
      <c r="H445" s="71" t="n"/>
      <c r="I445" s="71" t="n"/>
      <c r="J445" s="71" t="n"/>
      <c r="K445" s="71" t="n"/>
      <c r="L445" s="71" t="n"/>
      <c r="M445" s="71" t="n"/>
      <c r="N445" s="71" t="n"/>
      <c r="O445" s="72" t="n"/>
    </row>
    <row r="446" ht="20" customHeight="1">
      <c r="B446" s="73">
        <f>IF(INDEX(Klassenliste!$B$6:$B$40,27)&lt;&gt;0,"Klausur "&amp;$C$2&amp;" · "&amp;Klassenliste!$E$2&amp;" · "&amp;Klassenliste!$J$2&amp;IF(RB_Daten!$A$3="",""," · "&amp;RB_Daten!$A$3),"")</f>
        <v/>
      </c>
      <c r="J446" s="12">
        <f>IF(INDEX(Klassenliste!$B$6:$B$40,27)&lt;&gt;0,IF(RB_Daten!$A$2="","Datum: ______","Datum: "&amp;IFERROR(TEXT(RB_Daten!$A$2,"TT.MM.JJJJ"),RB_Daten!$A$2)),"")</f>
        <v/>
      </c>
      <c r="O446" s="74" t="n"/>
    </row>
    <row r="447" ht="20" customHeight="1">
      <c r="B447" s="75">
        <f>IF(INDEX(Klassenliste!$B$6:$B$40,27)&lt;&gt;0,"Name: "&amp;INDEX(Klassenliste!$C$6:$C$40,27)&amp;" "&amp;INDEX(Klassenliste!$B$6:$B$40,27),"")</f>
        <v/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74" t="n"/>
    </row>
    <row r="448" ht="8" customHeight="1">
      <c r="B448" s="76" t="n"/>
      <c r="O448" s="74" t="n"/>
    </row>
    <row r="449" ht="18" customHeight="1">
      <c r="B449" s="77">
        <f>IF(INDEX(Klassenliste!$B$6:$B$40,27)&lt;&gt;0,"Aufgabe","")</f>
        <v/>
      </c>
      <c r="C449" s="78">
        <f>IF(AND(INDEX(Klassenliste!$B$6:$B$40,27)&lt;&gt;0,NOT(OR(RB_Daten!B$3="",RB_Daten!B$3=0))),RB_Daten!B$2,"")</f>
        <v/>
      </c>
      <c r="D449" s="78">
        <f>IF(AND(INDEX(Klassenliste!$B$6:$B$40,27)&lt;&gt;0,NOT(OR(RB_Daten!C$3="",RB_Daten!C$3=0))),RB_Daten!C$2,"")</f>
        <v/>
      </c>
      <c r="E449" s="78">
        <f>IF(AND(INDEX(Klassenliste!$B$6:$B$40,27)&lt;&gt;0,NOT(OR(RB_Daten!D$3="",RB_Daten!D$3=0))),RB_Daten!D$2,"")</f>
        <v/>
      </c>
      <c r="F449" s="78">
        <f>IF(AND(INDEX(Klassenliste!$B$6:$B$40,27)&lt;&gt;0,NOT(OR(RB_Daten!E$3="",RB_Daten!E$3=0))),RB_Daten!E$2,"")</f>
        <v/>
      </c>
      <c r="G449" s="78">
        <f>IF(AND(INDEX(Klassenliste!$B$6:$B$40,27)&lt;&gt;0,NOT(OR(RB_Daten!F$3="",RB_Daten!F$3=0))),RB_Daten!F$2,"")</f>
        <v/>
      </c>
      <c r="H449" s="78">
        <f>IF(AND(INDEX(Klassenliste!$B$6:$B$40,27)&lt;&gt;0,NOT(OR(RB_Daten!G$3="",RB_Daten!G$3=0))),RB_Daten!G$2,"")</f>
        <v/>
      </c>
      <c r="I449" s="78">
        <f>IF(AND(INDEX(Klassenliste!$B$6:$B$40,27)&lt;&gt;0,NOT(OR(RB_Daten!H$3="",RB_Daten!H$3=0))),RB_Daten!H$2,"")</f>
        <v/>
      </c>
      <c r="J449" s="78">
        <f>IF(AND(INDEX(Klassenliste!$B$6:$B$40,27)&lt;&gt;0,NOT(OR(RB_Daten!I$3="",RB_Daten!I$3=0))),RB_Daten!I$2,"")</f>
        <v/>
      </c>
      <c r="K449" s="78">
        <f>IF(AND(INDEX(Klassenliste!$B$6:$B$40,27)&lt;&gt;0,NOT(OR(RB_Daten!J$3="",RB_Daten!J$3=0))),RB_Daten!J$2,"")</f>
        <v/>
      </c>
      <c r="L449" s="78">
        <f>IF(AND(INDEX(Klassenliste!$B$6:$B$40,27)&lt;&gt;0,NOT(OR(RB_Daten!K$3="",RB_Daten!K$3=0))),RB_Daten!K$2,"")</f>
        <v/>
      </c>
      <c r="M449" s="78">
        <f>IF(AND(INDEX(Klassenliste!$B$6:$B$40,27)&lt;&gt;0,NOT(OR(RB_Daten!L$3="",RB_Daten!L$3=0))),RB_Daten!L$2,"")</f>
        <v/>
      </c>
      <c r="N449" s="78">
        <f>IF(AND(INDEX(Klassenliste!$B$6:$B$40,27)&lt;&gt;0,NOT(OR(RB_Daten!M$3="",RB_Daten!M$3=0))),RB_Daten!M$2,"")</f>
        <v/>
      </c>
      <c r="O449" s="79">
        <f>IF(INDEX(Klassenliste!$B$6:$B$40,27)&lt;&gt;0,"Gesamt","")</f>
        <v/>
      </c>
    </row>
    <row r="450" ht="18" customHeight="1">
      <c r="B450" s="80">
        <f>IF(INDEX(Klassenliste!$B$6:$B$40,27)&lt;&gt;0,"max. Punkte","")</f>
        <v/>
      </c>
      <c r="C450" s="81">
        <f>IF(AND(INDEX(Klassenliste!$B$6:$B$40,27)&lt;&gt;0,NOT(OR(RB_Daten!B$3="",RB_Daten!B$3=0))),RB_Daten!B$3,"")</f>
        <v/>
      </c>
      <c r="D450" s="81">
        <f>IF(AND(INDEX(Klassenliste!$B$6:$B$40,27)&lt;&gt;0,NOT(OR(RB_Daten!C$3="",RB_Daten!C$3=0))),RB_Daten!C$3,"")</f>
        <v/>
      </c>
      <c r="E450" s="81">
        <f>IF(AND(INDEX(Klassenliste!$B$6:$B$40,27)&lt;&gt;0,NOT(OR(RB_Daten!D$3="",RB_Daten!D$3=0))),RB_Daten!D$3,"")</f>
        <v/>
      </c>
      <c r="F450" s="81">
        <f>IF(AND(INDEX(Klassenliste!$B$6:$B$40,27)&lt;&gt;0,NOT(OR(RB_Daten!E$3="",RB_Daten!E$3=0))),RB_Daten!E$3,"")</f>
        <v/>
      </c>
      <c r="G450" s="81">
        <f>IF(AND(INDEX(Klassenliste!$B$6:$B$40,27)&lt;&gt;0,NOT(OR(RB_Daten!F$3="",RB_Daten!F$3=0))),RB_Daten!F$3,"")</f>
        <v/>
      </c>
      <c r="H450" s="81">
        <f>IF(AND(INDEX(Klassenliste!$B$6:$B$40,27)&lt;&gt;0,NOT(OR(RB_Daten!G$3="",RB_Daten!G$3=0))),RB_Daten!G$3,"")</f>
        <v/>
      </c>
      <c r="I450" s="81">
        <f>IF(AND(INDEX(Klassenliste!$B$6:$B$40,27)&lt;&gt;0,NOT(OR(RB_Daten!H$3="",RB_Daten!H$3=0))),RB_Daten!H$3,"")</f>
        <v/>
      </c>
      <c r="J450" s="81">
        <f>IF(AND(INDEX(Klassenliste!$B$6:$B$40,27)&lt;&gt;0,NOT(OR(RB_Daten!I$3="",RB_Daten!I$3=0))),RB_Daten!I$3,"")</f>
        <v/>
      </c>
      <c r="K450" s="81">
        <f>IF(AND(INDEX(Klassenliste!$B$6:$B$40,27)&lt;&gt;0,NOT(OR(RB_Daten!J$3="",RB_Daten!J$3=0))),RB_Daten!J$3,"")</f>
        <v/>
      </c>
      <c r="L450" s="81">
        <f>IF(AND(INDEX(Klassenliste!$B$6:$B$40,27)&lt;&gt;0,NOT(OR(RB_Daten!K$3="",RB_Daten!K$3=0))),RB_Daten!K$3,"")</f>
        <v/>
      </c>
      <c r="M450" s="81">
        <f>IF(AND(INDEX(Klassenliste!$B$6:$B$40,27)&lt;&gt;0,NOT(OR(RB_Daten!L$3="",RB_Daten!L$3=0))),RB_Daten!L$3,"")</f>
        <v/>
      </c>
      <c r="N450" s="81">
        <f>IF(AND(INDEX(Klassenliste!$B$6:$B$40,27)&lt;&gt;0,NOT(OR(RB_Daten!M$3="",RB_Daten!M$3=0))),RB_Daten!M$3,"")</f>
        <v/>
      </c>
      <c r="O450" s="82">
        <f>IF(INDEX(Klassenliste!$B$6:$B$40,27)&lt;&gt;0,IF(RB_Daten!$A$4="","",RB_Daten!$A$4),"")</f>
        <v/>
      </c>
    </row>
    <row r="451" ht="18" customHeight="1">
      <c r="B451" s="83">
        <f>IF(INDEX(Klassenliste!$B$6:$B$40,27)&lt;&gt;0,"erreicht","")</f>
        <v/>
      </c>
      <c r="C451" s="84">
        <f>IF(AND(INDEX(Klassenliste!$B$6:$B$40,27)&lt;&gt;0,NOT(OR(RB_Daten!B$3="",RB_Daten!B$3=0))),IF(RB_Daten!B$31="","",RB_Daten!B$31),"")</f>
        <v/>
      </c>
      <c r="D451" s="84">
        <f>IF(AND(INDEX(Klassenliste!$B$6:$B$40,27)&lt;&gt;0,NOT(OR(RB_Daten!C$3="",RB_Daten!C$3=0))),IF(RB_Daten!C$31="","",RB_Daten!C$31),"")</f>
        <v/>
      </c>
      <c r="E451" s="84">
        <f>IF(AND(INDEX(Klassenliste!$B$6:$B$40,27)&lt;&gt;0,NOT(OR(RB_Daten!D$3="",RB_Daten!D$3=0))),IF(RB_Daten!D$31="","",RB_Daten!D$31),"")</f>
        <v/>
      </c>
      <c r="F451" s="84">
        <f>IF(AND(INDEX(Klassenliste!$B$6:$B$40,27)&lt;&gt;0,NOT(OR(RB_Daten!E$3="",RB_Daten!E$3=0))),IF(RB_Daten!E$31="","",RB_Daten!E$31),"")</f>
        <v/>
      </c>
      <c r="G451" s="84">
        <f>IF(AND(INDEX(Klassenliste!$B$6:$B$40,27)&lt;&gt;0,NOT(OR(RB_Daten!F$3="",RB_Daten!F$3=0))),IF(RB_Daten!F$31="","",RB_Daten!F$31),"")</f>
        <v/>
      </c>
      <c r="H451" s="84">
        <f>IF(AND(INDEX(Klassenliste!$B$6:$B$40,27)&lt;&gt;0,NOT(OR(RB_Daten!G$3="",RB_Daten!G$3=0))),IF(RB_Daten!G$31="","",RB_Daten!G$31),"")</f>
        <v/>
      </c>
      <c r="I451" s="84">
        <f>IF(AND(INDEX(Klassenliste!$B$6:$B$40,27)&lt;&gt;0,NOT(OR(RB_Daten!H$3="",RB_Daten!H$3=0))),IF(RB_Daten!H$31="","",RB_Daten!H$31),"")</f>
        <v/>
      </c>
      <c r="J451" s="84">
        <f>IF(AND(INDEX(Klassenliste!$B$6:$B$40,27)&lt;&gt;0,NOT(OR(RB_Daten!I$3="",RB_Daten!I$3=0))),IF(RB_Daten!I$31="","",RB_Daten!I$31),"")</f>
        <v/>
      </c>
      <c r="K451" s="84">
        <f>IF(AND(INDEX(Klassenliste!$B$6:$B$40,27)&lt;&gt;0,NOT(OR(RB_Daten!J$3="",RB_Daten!J$3=0))),IF(RB_Daten!J$31="","",RB_Daten!J$31),"")</f>
        <v/>
      </c>
      <c r="L451" s="84">
        <f>IF(AND(INDEX(Klassenliste!$B$6:$B$40,27)&lt;&gt;0,NOT(OR(RB_Daten!K$3="",RB_Daten!K$3=0))),IF(RB_Daten!K$31="","",RB_Daten!K$31),"")</f>
        <v/>
      </c>
      <c r="M451" s="84">
        <f>IF(AND(INDEX(Klassenliste!$B$6:$B$40,27)&lt;&gt;0,NOT(OR(RB_Daten!L$3="",RB_Daten!L$3=0))),IF(RB_Daten!L$31="","",RB_Daten!L$31),"")</f>
        <v/>
      </c>
      <c r="N451" s="84">
        <f>IF(AND(INDEX(Klassenliste!$B$6:$B$40,27)&lt;&gt;0,NOT(OR(RB_Daten!M$3="",RB_Daten!M$3=0))),IF(RB_Daten!M$31="","",RB_Daten!M$31),"")</f>
        <v/>
      </c>
      <c r="O451" s="85">
        <f>IF(INDEX(Klassenliste!$B$6:$B$40,27)&lt;&gt;0,IF(RB_Daten!$N31="","",RB_Daten!$N31),"")</f>
        <v/>
      </c>
    </row>
    <row r="452" ht="10" customHeight="1">
      <c r="B452" s="76" t="n"/>
      <c r="O452" s="74" t="n"/>
    </row>
    <row r="453" ht="24" customHeight="1">
      <c r="B453" s="73">
        <f>IF(INDEX(Klassenliste!$B$6:$B$40,27)&lt;&gt;0,IF(RB_Daten!$O31="","Ergebnis: –","Ergebnis: "&amp;ROUND(RB_Daten!$O31*100,1)&amp;" %"),"")</f>
        <v/>
      </c>
      <c r="F453" s="86">
        <f>IF(INDEX(Klassenliste!$B$6:$B$40,27)&lt;&gt;0,IF(RB_Daten!$P31="","Punkte: –","Punkte: "&amp;RB_Daten!$P31&amp;"  ("&amp;RB_Daten!$Q31&amp;")"),"")</f>
        <v/>
      </c>
      <c r="O453" s="74" t="n"/>
    </row>
    <row r="454" ht="16" customHeight="1">
      <c r="B454" s="87">
        <f>IF(INDEX(Klassenliste!$B$6:$B$40,27)&lt;&gt;0,"Notenschlüssel:","")</f>
        <v/>
      </c>
      <c r="C454" s="46">
        <f>IF(INDEX(Klassenliste!$B$6:$B$40,27)&lt;&gt;0,"Note 1","")</f>
        <v/>
      </c>
      <c r="D454" s="46">
        <f>IF(INDEX(Klassenliste!$B$6:$B$40,27)&lt;&gt;0,"Note 2","")</f>
        <v/>
      </c>
      <c r="E454" s="46">
        <f>IF(INDEX(Klassenliste!$B$6:$B$40,27)&lt;&gt;0,"Note 3","")</f>
        <v/>
      </c>
      <c r="F454" s="46">
        <f>IF(INDEX(Klassenliste!$B$6:$B$40,27)&lt;&gt;0,"Note 4","")</f>
        <v/>
      </c>
      <c r="G454" s="46">
        <f>IF(INDEX(Klassenliste!$B$6:$B$40,27)&lt;&gt;0,"Note 5","")</f>
        <v/>
      </c>
      <c r="H454" s="46">
        <f>IF(INDEX(Klassenliste!$B$6:$B$40,27)&lt;&gt;0,"Note 6","")</f>
        <v/>
      </c>
      <c r="O454" s="74" t="n"/>
    </row>
    <row r="455" ht="16" customHeight="1">
      <c r="B455" s="87">
        <f>IF(INDEX(Klassenliste!$B$6:$B$40,27)&lt;&gt;0,"ab Punkten:","")</f>
        <v/>
      </c>
      <c r="C455" s="88">
        <f>IF(AND(INDEX(Klassenliste!$B$6:$B$40,27)&lt;&gt;0,RB_Daten!$A$4&lt;&gt;""),CEILING(Notentabelle!$C$17*RB_Daten!$A$4,0.5),"")</f>
        <v/>
      </c>
      <c r="D455" s="88">
        <f>IF(AND(INDEX(Klassenliste!$B$6:$B$40,27)&lt;&gt;0,RB_Daten!$A$4&lt;&gt;""),CEILING(Notentabelle!$C$14*RB_Daten!$A$4,0.5),"")</f>
        <v/>
      </c>
      <c r="E455" s="88">
        <f>IF(AND(INDEX(Klassenliste!$B$6:$B$40,27)&lt;&gt;0,RB_Daten!$A$4&lt;&gt;""),CEILING(Notentabelle!$C$11*RB_Daten!$A$4,0.5),"")</f>
        <v/>
      </c>
      <c r="F455" s="88">
        <f>IF(AND(INDEX(Klassenliste!$B$6:$B$40,27)&lt;&gt;0,RB_Daten!$A$4&lt;&gt;""),CEILING(Notentabelle!$C$8*RB_Daten!$A$4,0.5),"")</f>
        <v/>
      </c>
      <c r="G455" s="88">
        <f>IF(AND(INDEX(Klassenliste!$B$6:$B$40,27)&lt;&gt;0,RB_Daten!$A$4&lt;&gt;""),CEILING(Notentabelle!$C$5*RB_Daten!$A$4,0.5),"")</f>
        <v/>
      </c>
      <c r="H455" s="88">
        <f>IF(AND(INDEX(Klassenliste!$B$6:$B$40,27)&lt;&gt;0,RB_Daten!$A$4&lt;&gt;""),CEILING(0*RB_Daten!$A$4,0.5),"")</f>
        <v/>
      </c>
      <c r="O455" s="74" t="n"/>
    </row>
    <row r="456" ht="14" customHeight="1">
      <c r="B456" s="76" t="n"/>
      <c r="O456" s="74" t="n"/>
    </row>
    <row r="457" ht="110" customHeight="1">
      <c r="B457" s="89">
        <f>IF(INDEX(Klassenliste!$B$6:$B$40,27)&lt;&gt;0,"Lob / Hinweis:","")</f>
        <v/>
      </c>
      <c r="C457" s="90">
        <f>IF(INDEX(Klassenliste!$B$6:$B$40,27)&lt;&gt;0,RB_Daten!$R$31,"")</f>
        <v/>
      </c>
      <c r="D457" s="91" t="n"/>
      <c r="E457" s="91" t="n"/>
      <c r="F457" s="91" t="n"/>
      <c r="G457" s="91" t="n"/>
      <c r="H457" s="91" t="n"/>
      <c r="I457" s="91" t="n"/>
      <c r="J457" s="91" t="n"/>
      <c r="K457" s="91" t="n"/>
      <c r="L457" s="91" t="n"/>
      <c r="M457" s="91" t="n"/>
      <c r="N457" s="91" t="n"/>
      <c r="O457" s="74" t="n"/>
    </row>
    <row r="458" ht="22" customHeight="1">
      <c r="B458" s="87">
        <f>IF(INDEX(Klassenliste!$B$6:$B$40,27)&lt;&gt;0,"Unterschrift Erziehungsberechtigte/r:","")</f>
        <v/>
      </c>
      <c r="F458" s="92" t="n"/>
      <c r="G458" s="92" t="n"/>
      <c r="H458" s="92" t="n"/>
      <c r="I458" s="92" t="n"/>
      <c r="O458" s="74" t="n"/>
    </row>
    <row r="459" ht="8" customHeight="1">
      <c r="B459" s="93" t="n"/>
      <c r="C459" s="94" t="n"/>
      <c r="D459" s="94" t="n"/>
      <c r="E459" s="94" t="n"/>
      <c r="F459" s="94" t="n"/>
      <c r="G459" s="94" t="n"/>
      <c r="H459" s="94" t="n"/>
      <c r="I459" s="94" t="n"/>
      <c r="J459" s="94" t="n"/>
      <c r="K459" s="94" t="n"/>
      <c r="L459" s="94" t="n"/>
      <c r="M459" s="94" t="n"/>
      <c r="N459" s="94" t="n"/>
      <c r="O459" s="95" t="n"/>
    </row>
    <row r="460" ht="27.5" customHeight="1"/>
    <row r="461" ht="27.5" customHeight="1"/>
    <row r="462" ht="6" customHeight="1">
      <c r="B462" s="70" t="n"/>
      <c r="C462" s="71" t="n"/>
      <c r="D462" s="71" t="n"/>
      <c r="E462" s="71" t="n"/>
      <c r="F462" s="71" t="n"/>
      <c r="G462" s="71" t="n"/>
      <c r="H462" s="71" t="n"/>
      <c r="I462" s="71" t="n"/>
      <c r="J462" s="71" t="n"/>
      <c r="K462" s="71" t="n"/>
      <c r="L462" s="71" t="n"/>
      <c r="M462" s="71" t="n"/>
      <c r="N462" s="71" t="n"/>
      <c r="O462" s="72" t="n"/>
    </row>
    <row r="463" ht="20" customHeight="1">
      <c r="B463" s="73">
        <f>IF(INDEX(Klassenliste!$B$6:$B$40,28)&lt;&gt;0,"Klausur "&amp;$C$2&amp;" · "&amp;Klassenliste!$E$2&amp;" · "&amp;Klassenliste!$J$2&amp;IF(RB_Daten!$A$3="",""," · "&amp;RB_Daten!$A$3),"")</f>
        <v/>
      </c>
      <c r="J463" s="12">
        <f>IF(INDEX(Klassenliste!$B$6:$B$40,28)&lt;&gt;0,IF(RB_Daten!$A$2="","Datum: ______","Datum: "&amp;IFERROR(TEXT(RB_Daten!$A$2,"TT.MM.JJJJ"),RB_Daten!$A$2)),"")</f>
        <v/>
      </c>
      <c r="O463" s="74" t="n"/>
    </row>
    <row r="464" ht="20" customHeight="1">
      <c r="B464" s="75">
        <f>IF(INDEX(Klassenliste!$B$6:$B$40,28)&lt;&gt;0,"Name: "&amp;INDEX(Klassenliste!$C$6:$C$40,28)&amp;" "&amp;INDEX(Klassenliste!$B$6:$B$40,28),"")</f>
        <v/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74" t="n"/>
    </row>
    <row r="465" ht="8" customHeight="1">
      <c r="B465" s="76" t="n"/>
      <c r="O465" s="74" t="n"/>
    </row>
    <row r="466" ht="18" customHeight="1">
      <c r="B466" s="77">
        <f>IF(INDEX(Klassenliste!$B$6:$B$40,28)&lt;&gt;0,"Aufgabe","")</f>
        <v/>
      </c>
      <c r="C466" s="78">
        <f>IF(AND(INDEX(Klassenliste!$B$6:$B$40,28)&lt;&gt;0,NOT(OR(RB_Daten!B$3="",RB_Daten!B$3=0))),RB_Daten!B$2,"")</f>
        <v/>
      </c>
      <c r="D466" s="78">
        <f>IF(AND(INDEX(Klassenliste!$B$6:$B$40,28)&lt;&gt;0,NOT(OR(RB_Daten!C$3="",RB_Daten!C$3=0))),RB_Daten!C$2,"")</f>
        <v/>
      </c>
      <c r="E466" s="78">
        <f>IF(AND(INDEX(Klassenliste!$B$6:$B$40,28)&lt;&gt;0,NOT(OR(RB_Daten!D$3="",RB_Daten!D$3=0))),RB_Daten!D$2,"")</f>
        <v/>
      </c>
      <c r="F466" s="78">
        <f>IF(AND(INDEX(Klassenliste!$B$6:$B$40,28)&lt;&gt;0,NOT(OR(RB_Daten!E$3="",RB_Daten!E$3=0))),RB_Daten!E$2,"")</f>
        <v/>
      </c>
      <c r="G466" s="78">
        <f>IF(AND(INDEX(Klassenliste!$B$6:$B$40,28)&lt;&gt;0,NOT(OR(RB_Daten!F$3="",RB_Daten!F$3=0))),RB_Daten!F$2,"")</f>
        <v/>
      </c>
      <c r="H466" s="78">
        <f>IF(AND(INDEX(Klassenliste!$B$6:$B$40,28)&lt;&gt;0,NOT(OR(RB_Daten!G$3="",RB_Daten!G$3=0))),RB_Daten!G$2,"")</f>
        <v/>
      </c>
      <c r="I466" s="78">
        <f>IF(AND(INDEX(Klassenliste!$B$6:$B$40,28)&lt;&gt;0,NOT(OR(RB_Daten!H$3="",RB_Daten!H$3=0))),RB_Daten!H$2,"")</f>
        <v/>
      </c>
      <c r="J466" s="78">
        <f>IF(AND(INDEX(Klassenliste!$B$6:$B$40,28)&lt;&gt;0,NOT(OR(RB_Daten!I$3="",RB_Daten!I$3=0))),RB_Daten!I$2,"")</f>
        <v/>
      </c>
      <c r="K466" s="78">
        <f>IF(AND(INDEX(Klassenliste!$B$6:$B$40,28)&lt;&gt;0,NOT(OR(RB_Daten!J$3="",RB_Daten!J$3=0))),RB_Daten!J$2,"")</f>
        <v/>
      </c>
      <c r="L466" s="78">
        <f>IF(AND(INDEX(Klassenliste!$B$6:$B$40,28)&lt;&gt;0,NOT(OR(RB_Daten!K$3="",RB_Daten!K$3=0))),RB_Daten!K$2,"")</f>
        <v/>
      </c>
      <c r="M466" s="78">
        <f>IF(AND(INDEX(Klassenliste!$B$6:$B$40,28)&lt;&gt;0,NOT(OR(RB_Daten!L$3="",RB_Daten!L$3=0))),RB_Daten!L$2,"")</f>
        <v/>
      </c>
      <c r="N466" s="78">
        <f>IF(AND(INDEX(Klassenliste!$B$6:$B$40,28)&lt;&gt;0,NOT(OR(RB_Daten!M$3="",RB_Daten!M$3=0))),RB_Daten!M$2,"")</f>
        <v/>
      </c>
      <c r="O466" s="79">
        <f>IF(INDEX(Klassenliste!$B$6:$B$40,28)&lt;&gt;0,"Gesamt","")</f>
        <v/>
      </c>
    </row>
    <row r="467" ht="18" customHeight="1">
      <c r="B467" s="80">
        <f>IF(INDEX(Klassenliste!$B$6:$B$40,28)&lt;&gt;0,"max. Punkte","")</f>
        <v/>
      </c>
      <c r="C467" s="81">
        <f>IF(AND(INDEX(Klassenliste!$B$6:$B$40,28)&lt;&gt;0,NOT(OR(RB_Daten!B$3="",RB_Daten!B$3=0))),RB_Daten!B$3,"")</f>
        <v/>
      </c>
      <c r="D467" s="81">
        <f>IF(AND(INDEX(Klassenliste!$B$6:$B$40,28)&lt;&gt;0,NOT(OR(RB_Daten!C$3="",RB_Daten!C$3=0))),RB_Daten!C$3,"")</f>
        <v/>
      </c>
      <c r="E467" s="81">
        <f>IF(AND(INDEX(Klassenliste!$B$6:$B$40,28)&lt;&gt;0,NOT(OR(RB_Daten!D$3="",RB_Daten!D$3=0))),RB_Daten!D$3,"")</f>
        <v/>
      </c>
      <c r="F467" s="81">
        <f>IF(AND(INDEX(Klassenliste!$B$6:$B$40,28)&lt;&gt;0,NOT(OR(RB_Daten!E$3="",RB_Daten!E$3=0))),RB_Daten!E$3,"")</f>
        <v/>
      </c>
      <c r="G467" s="81">
        <f>IF(AND(INDEX(Klassenliste!$B$6:$B$40,28)&lt;&gt;0,NOT(OR(RB_Daten!F$3="",RB_Daten!F$3=0))),RB_Daten!F$3,"")</f>
        <v/>
      </c>
      <c r="H467" s="81">
        <f>IF(AND(INDEX(Klassenliste!$B$6:$B$40,28)&lt;&gt;0,NOT(OR(RB_Daten!G$3="",RB_Daten!G$3=0))),RB_Daten!G$3,"")</f>
        <v/>
      </c>
      <c r="I467" s="81">
        <f>IF(AND(INDEX(Klassenliste!$B$6:$B$40,28)&lt;&gt;0,NOT(OR(RB_Daten!H$3="",RB_Daten!H$3=0))),RB_Daten!H$3,"")</f>
        <v/>
      </c>
      <c r="J467" s="81">
        <f>IF(AND(INDEX(Klassenliste!$B$6:$B$40,28)&lt;&gt;0,NOT(OR(RB_Daten!I$3="",RB_Daten!I$3=0))),RB_Daten!I$3,"")</f>
        <v/>
      </c>
      <c r="K467" s="81">
        <f>IF(AND(INDEX(Klassenliste!$B$6:$B$40,28)&lt;&gt;0,NOT(OR(RB_Daten!J$3="",RB_Daten!J$3=0))),RB_Daten!J$3,"")</f>
        <v/>
      </c>
      <c r="L467" s="81">
        <f>IF(AND(INDEX(Klassenliste!$B$6:$B$40,28)&lt;&gt;0,NOT(OR(RB_Daten!K$3="",RB_Daten!K$3=0))),RB_Daten!K$3,"")</f>
        <v/>
      </c>
      <c r="M467" s="81">
        <f>IF(AND(INDEX(Klassenliste!$B$6:$B$40,28)&lt;&gt;0,NOT(OR(RB_Daten!L$3="",RB_Daten!L$3=0))),RB_Daten!L$3,"")</f>
        <v/>
      </c>
      <c r="N467" s="81">
        <f>IF(AND(INDEX(Klassenliste!$B$6:$B$40,28)&lt;&gt;0,NOT(OR(RB_Daten!M$3="",RB_Daten!M$3=0))),RB_Daten!M$3,"")</f>
        <v/>
      </c>
      <c r="O467" s="82">
        <f>IF(INDEX(Klassenliste!$B$6:$B$40,28)&lt;&gt;0,IF(RB_Daten!$A$4="","",RB_Daten!$A$4),"")</f>
        <v/>
      </c>
    </row>
    <row r="468" ht="18" customHeight="1">
      <c r="B468" s="83">
        <f>IF(INDEX(Klassenliste!$B$6:$B$40,28)&lt;&gt;0,"erreicht","")</f>
        <v/>
      </c>
      <c r="C468" s="84">
        <f>IF(AND(INDEX(Klassenliste!$B$6:$B$40,28)&lt;&gt;0,NOT(OR(RB_Daten!B$3="",RB_Daten!B$3=0))),IF(RB_Daten!B$32="","",RB_Daten!B$32),"")</f>
        <v/>
      </c>
      <c r="D468" s="84">
        <f>IF(AND(INDEX(Klassenliste!$B$6:$B$40,28)&lt;&gt;0,NOT(OR(RB_Daten!C$3="",RB_Daten!C$3=0))),IF(RB_Daten!C$32="","",RB_Daten!C$32),"")</f>
        <v/>
      </c>
      <c r="E468" s="84">
        <f>IF(AND(INDEX(Klassenliste!$B$6:$B$40,28)&lt;&gt;0,NOT(OR(RB_Daten!D$3="",RB_Daten!D$3=0))),IF(RB_Daten!D$32="","",RB_Daten!D$32),"")</f>
        <v/>
      </c>
      <c r="F468" s="84">
        <f>IF(AND(INDEX(Klassenliste!$B$6:$B$40,28)&lt;&gt;0,NOT(OR(RB_Daten!E$3="",RB_Daten!E$3=0))),IF(RB_Daten!E$32="","",RB_Daten!E$32),"")</f>
        <v/>
      </c>
      <c r="G468" s="84">
        <f>IF(AND(INDEX(Klassenliste!$B$6:$B$40,28)&lt;&gt;0,NOT(OR(RB_Daten!F$3="",RB_Daten!F$3=0))),IF(RB_Daten!F$32="","",RB_Daten!F$32),"")</f>
        <v/>
      </c>
      <c r="H468" s="84">
        <f>IF(AND(INDEX(Klassenliste!$B$6:$B$40,28)&lt;&gt;0,NOT(OR(RB_Daten!G$3="",RB_Daten!G$3=0))),IF(RB_Daten!G$32="","",RB_Daten!G$32),"")</f>
        <v/>
      </c>
      <c r="I468" s="84">
        <f>IF(AND(INDEX(Klassenliste!$B$6:$B$40,28)&lt;&gt;0,NOT(OR(RB_Daten!H$3="",RB_Daten!H$3=0))),IF(RB_Daten!H$32="","",RB_Daten!H$32),"")</f>
        <v/>
      </c>
      <c r="J468" s="84">
        <f>IF(AND(INDEX(Klassenliste!$B$6:$B$40,28)&lt;&gt;0,NOT(OR(RB_Daten!I$3="",RB_Daten!I$3=0))),IF(RB_Daten!I$32="","",RB_Daten!I$32),"")</f>
        <v/>
      </c>
      <c r="K468" s="84">
        <f>IF(AND(INDEX(Klassenliste!$B$6:$B$40,28)&lt;&gt;0,NOT(OR(RB_Daten!J$3="",RB_Daten!J$3=0))),IF(RB_Daten!J$32="","",RB_Daten!J$32),"")</f>
        <v/>
      </c>
      <c r="L468" s="84">
        <f>IF(AND(INDEX(Klassenliste!$B$6:$B$40,28)&lt;&gt;0,NOT(OR(RB_Daten!K$3="",RB_Daten!K$3=0))),IF(RB_Daten!K$32="","",RB_Daten!K$32),"")</f>
        <v/>
      </c>
      <c r="M468" s="84">
        <f>IF(AND(INDEX(Klassenliste!$B$6:$B$40,28)&lt;&gt;0,NOT(OR(RB_Daten!L$3="",RB_Daten!L$3=0))),IF(RB_Daten!L$32="","",RB_Daten!L$32),"")</f>
        <v/>
      </c>
      <c r="N468" s="84">
        <f>IF(AND(INDEX(Klassenliste!$B$6:$B$40,28)&lt;&gt;0,NOT(OR(RB_Daten!M$3="",RB_Daten!M$3=0))),IF(RB_Daten!M$32="","",RB_Daten!M$32),"")</f>
        <v/>
      </c>
      <c r="O468" s="85">
        <f>IF(INDEX(Klassenliste!$B$6:$B$40,28)&lt;&gt;0,IF(RB_Daten!$N32="","",RB_Daten!$N32),"")</f>
        <v/>
      </c>
    </row>
    <row r="469" ht="10" customHeight="1">
      <c r="B469" s="76" t="n"/>
      <c r="O469" s="74" t="n"/>
    </row>
    <row r="470" ht="24" customHeight="1">
      <c r="B470" s="73">
        <f>IF(INDEX(Klassenliste!$B$6:$B$40,28)&lt;&gt;0,IF(RB_Daten!$O32="","Ergebnis: –","Ergebnis: "&amp;ROUND(RB_Daten!$O32*100,1)&amp;" %"),"")</f>
        <v/>
      </c>
      <c r="F470" s="86">
        <f>IF(INDEX(Klassenliste!$B$6:$B$40,28)&lt;&gt;0,IF(RB_Daten!$P32="","Punkte: –","Punkte: "&amp;RB_Daten!$P32&amp;"  ("&amp;RB_Daten!$Q32&amp;")"),"")</f>
        <v/>
      </c>
      <c r="O470" s="74" t="n"/>
    </row>
    <row r="471" ht="16" customHeight="1">
      <c r="B471" s="87">
        <f>IF(INDEX(Klassenliste!$B$6:$B$40,28)&lt;&gt;0,"Notenschlüssel:","")</f>
        <v/>
      </c>
      <c r="C471" s="46">
        <f>IF(INDEX(Klassenliste!$B$6:$B$40,28)&lt;&gt;0,"Note 1","")</f>
        <v/>
      </c>
      <c r="D471" s="46">
        <f>IF(INDEX(Klassenliste!$B$6:$B$40,28)&lt;&gt;0,"Note 2","")</f>
        <v/>
      </c>
      <c r="E471" s="46">
        <f>IF(INDEX(Klassenliste!$B$6:$B$40,28)&lt;&gt;0,"Note 3","")</f>
        <v/>
      </c>
      <c r="F471" s="46">
        <f>IF(INDEX(Klassenliste!$B$6:$B$40,28)&lt;&gt;0,"Note 4","")</f>
        <v/>
      </c>
      <c r="G471" s="46">
        <f>IF(INDEX(Klassenliste!$B$6:$B$40,28)&lt;&gt;0,"Note 5","")</f>
        <v/>
      </c>
      <c r="H471" s="46">
        <f>IF(INDEX(Klassenliste!$B$6:$B$40,28)&lt;&gt;0,"Note 6","")</f>
        <v/>
      </c>
      <c r="O471" s="74" t="n"/>
    </row>
    <row r="472" ht="16" customHeight="1">
      <c r="B472" s="87">
        <f>IF(INDEX(Klassenliste!$B$6:$B$40,28)&lt;&gt;0,"ab Punkten:","")</f>
        <v/>
      </c>
      <c r="C472" s="88">
        <f>IF(AND(INDEX(Klassenliste!$B$6:$B$40,28)&lt;&gt;0,RB_Daten!$A$4&lt;&gt;""),CEILING(Notentabelle!$C$17*RB_Daten!$A$4,0.5),"")</f>
        <v/>
      </c>
      <c r="D472" s="88">
        <f>IF(AND(INDEX(Klassenliste!$B$6:$B$40,28)&lt;&gt;0,RB_Daten!$A$4&lt;&gt;""),CEILING(Notentabelle!$C$14*RB_Daten!$A$4,0.5),"")</f>
        <v/>
      </c>
      <c r="E472" s="88">
        <f>IF(AND(INDEX(Klassenliste!$B$6:$B$40,28)&lt;&gt;0,RB_Daten!$A$4&lt;&gt;""),CEILING(Notentabelle!$C$11*RB_Daten!$A$4,0.5),"")</f>
        <v/>
      </c>
      <c r="F472" s="88">
        <f>IF(AND(INDEX(Klassenliste!$B$6:$B$40,28)&lt;&gt;0,RB_Daten!$A$4&lt;&gt;""),CEILING(Notentabelle!$C$8*RB_Daten!$A$4,0.5),"")</f>
        <v/>
      </c>
      <c r="G472" s="88">
        <f>IF(AND(INDEX(Klassenliste!$B$6:$B$40,28)&lt;&gt;0,RB_Daten!$A$4&lt;&gt;""),CEILING(Notentabelle!$C$5*RB_Daten!$A$4,0.5),"")</f>
        <v/>
      </c>
      <c r="H472" s="88">
        <f>IF(AND(INDEX(Klassenliste!$B$6:$B$40,28)&lt;&gt;0,RB_Daten!$A$4&lt;&gt;""),CEILING(0*RB_Daten!$A$4,0.5),"")</f>
        <v/>
      </c>
      <c r="O472" s="74" t="n"/>
    </row>
    <row r="473" ht="14" customHeight="1">
      <c r="B473" s="76" t="n"/>
      <c r="O473" s="74" t="n"/>
    </row>
    <row r="474" ht="110" customHeight="1">
      <c r="B474" s="89">
        <f>IF(INDEX(Klassenliste!$B$6:$B$40,28)&lt;&gt;0,"Lob / Hinweis:","")</f>
        <v/>
      </c>
      <c r="C474" s="90">
        <f>IF(INDEX(Klassenliste!$B$6:$B$40,28)&lt;&gt;0,RB_Daten!$R$32,"")</f>
        <v/>
      </c>
      <c r="D474" s="91" t="n"/>
      <c r="E474" s="91" t="n"/>
      <c r="F474" s="91" t="n"/>
      <c r="G474" s="91" t="n"/>
      <c r="H474" s="91" t="n"/>
      <c r="I474" s="91" t="n"/>
      <c r="J474" s="91" t="n"/>
      <c r="K474" s="91" t="n"/>
      <c r="L474" s="91" t="n"/>
      <c r="M474" s="91" t="n"/>
      <c r="N474" s="91" t="n"/>
      <c r="O474" s="74" t="n"/>
    </row>
    <row r="475" ht="22" customHeight="1">
      <c r="B475" s="87">
        <f>IF(INDEX(Klassenliste!$B$6:$B$40,28)&lt;&gt;0,"Unterschrift Erziehungsberechtigte/r:","")</f>
        <v/>
      </c>
      <c r="F475" s="92" t="n"/>
      <c r="G475" s="92" t="n"/>
      <c r="H475" s="92" t="n"/>
      <c r="I475" s="92" t="n"/>
      <c r="O475" s="74" t="n"/>
    </row>
    <row r="476" ht="8" customHeight="1">
      <c r="B476" s="93" t="n"/>
      <c r="C476" s="94" t="n"/>
      <c r="D476" s="94" t="n"/>
      <c r="E476" s="94" t="n"/>
      <c r="F476" s="94" t="n"/>
      <c r="G476" s="94" t="n"/>
      <c r="H476" s="94" t="n"/>
      <c r="I476" s="94" t="n"/>
      <c r="J476" s="94" t="n"/>
      <c r="K476" s="94" t="n"/>
      <c r="L476" s="94" t="n"/>
      <c r="M476" s="94" t="n"/>
      <c r="N476" s="94" t="n"/>
      <c r="O476" s="95" t="n"/>
    </row>
    <row r="477" ht="27.5" customHeight="1"/>
    <row r="478" ht="27.5" customHeight="1"/>
    <row r="479" ht="6" customHeight="1">
      <c r="B479" s="70" t="n"/>
      <c r="C479" s="71" t="n"/>
      <c r="D479" s="71" t="n"/>
      <c r="E479" s="71" t="n"/>
      <c r="F479" s="71" t="n"/>
      <c r="G479" s="71" t="n"/>
      <c r="H479" s="71" t="n"/>
      <c r="I479" s="71" t="n"/>
      <c r="J479" s="71" t="n"/>
      <c r="K479" s="71" t="n"/>
      <c r="L479" s="71" t="n"/>
      <c r="M479" s="71" t="n"/>
      <c r="N479" s="71" t="n"/>
      <c r="O479" s="72" t="n"/>
    </row>
    <row r="480" ht="20" customHeight="1">
      <c r="B480" s="73">
        <f>IF(INDEX(Klassenliste!$B$6:$B$40,29)&lt;&gt;0,"Klausur "&amp;$C$2&amp;" · "&amp;Klassenliste!$E$2&amp;" · "&amp;Klassenliste!$J$2&amp;IF(RB_Daten!$A$3="",""," · "&amp;RB_Daten!$A$3),"")</f>
        <v/>
      </c>
      <c r="J480" s="12">
        <f>IF(INDEX(Klassenliste!$B$6:$B$40,29)&lt;&gt;0,IF(RB_Daten!$A$2="","Datum: ______","Datum: "&amp;IFERROR(TEXT(RB_Daten!$A$2,"TT.MM.JJJJ"),RB_Daten!$A$2)),"")</f>
        <v/>
      </c>
      <c r="O480" s="74" t="n"/>
    </row>
    <row r="481" ht="20" customHeight="1">
      <c r="B481" s="75">
        <f>IF(INDEX(Klassenliste!$B$6:$B$40,29)&lt;&gt;0,"Name: "&amp;INDEX(Klassenliste!$C$6:$C$40,29)&amp;" "&amp;INDEX(Klassenliste!$B$6:$B$40,29),"")</f>
        <v/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74" t="n"/>
    </row>
    <row r="482" ht="8" customHeight="1">
      <c r="B482" s="76" t="n"/>
      <c r="O482" s="74" t="n"/>
    </row>
    <row r="483" ht="18" customHeight="1">
      <c r="B483" s="77">
        <f>IF(INDEX(Klassenliste!$B$6:$B$40,29)&lt;&gt;0,"Aufgabe","")</f>
        <v/>
      </c>
      <c r="C483" s="78">
        <f>IF(AND(INDEX(Klassenliste!$B$6:$B$40,29)&lt;&gt;0,NOT(OR(RB_Daten!B$3="",RB_Daten!B$3=0))),RB_Daten!B$2,"")</f>
        <v/>
      </c>
      <c r="D483" s="78">
        <f>IF(AND(INDEX(Klassenliste!$B$6:$B$40,29)&lt;&gt;0,NOT(OR(RB_Daten!C$3="",RB_Daten!C$3=0))),RB_Daten!C$2,"")</f>
        <v/>
      </c>
      <c r="E483" s="78">
        <f>IF(AND(INDEX(Klassenliste!$B$6:$B$40,29)&lt;&gt;0,NOT(OR(RB_Daten!D$3="",RB_Daten!D$3=0))),RB_Daten!D$2,"")</f>
        <v/>
      </c>
      <c r="F483" s="78">
        <f>IF(AND(INDEX(Klassenliste!$B$6:$B$40,29)&lt;&gt;0,NOT(OR(RB_Daten!E$3="",RB_Daten!E$3=0))),RB_Daten!E$2,"")</f>
        <v/>
      </c>
      <c r="G483" s="78">
        <f>IF(AND(INDEX(Klassenliste!$B$6:$B$40,29)&lt;&gt;0,NOT(OR(RB_Daten!F$3="",RB_Daten!F$3=0))),RB_Daten!F$2,"")</f>
        <v/>
      </c>
      <c r="H483" s="78">
        <f>IF(AND(INDEX(Klassenliste!$B$6:$B$40,29)&lt;&gt;0,NOT(OR(RB_Daten!G$3="",RB_Daten!G$3=0))),RB_Daten!G$2,"")</f>
        <v/>
      </c>
      <c r="I483" s="78">
        <f>IF(AND(INDEX(Klassenliste!$B$6:$B$40,29)&lt;&gt;0,NOT(OR(RB_Daten!H$3="",RB_Daten!H$3=0))),RB_Daten!H$2,"")</f>
        <v/>
      </c>
      <c r="J483" s="78">
        <f>IF(AND(INDEX(Klassenliste!$B$6:$B$40,29)&lt;&gt;0,NOT(OR(RB_Daten!I$3="",RB_Daten!I$3=0))),RB_Daten!I$2,"")</f>
        <v/>
      </c>
      <c r="K483" s="78">
        <f>IF(AND(INDEX(Klassenliste!$B$6:$B$40,29)&lt;&gt;0,NOT(OR(RB_Daten!J$3="",RB_Daten!J$3=0))),RB_Daten!J$2,"")</f>
        <v/>
      </c>
      <c r="L483" s="78">
        <f>IF(AND(INDEX(Klassenliste!$B$6:$B$40,29)&lt;&gt;0,NOT(OR(RB_Daten!K$3="",RB_Daten!K$3=0))),RB_Daten!K$2,"")</f>
        <v/>
      </c>
      <c r="M483" s="78">
        <f>IF(AND(INDEX(Klassenliste!$B$6:$B$40,29)&lt;&gt;0,NOT(OR(RB_Daten!L$3="",RB_Daten!L$3=0))),RB_Daten!L$2,"")</f>
        <v/>
      </c>
      <c r="N483" s="78">
        <f>IF(AND(INDEX(Klassenliste!$B$6:$B$40,29)&lt;&gt;0,NOT(OR(RB_Daten!M$3="",RB_Daten!M$3=0))),RB_Daten!M$2,"")</f>
        <v/>
      </c>
      <c r="O483" s="79">
        <f>IF(INDEX(Klassenliste!$B$6:$B$40,29)&lt;&gt;0,"Gesamt","")</f>
        <v/>
      </c>
    </row>
    <row r="484" ht="18" customHeight="1">
      <c r="B484" s="80">
        <f>IF(INDEX(Klassenliste!$B$6:$B$40,29)&lt;&gt;0,"max. Punkte","")</f>
        <v/>
      </c>
      <c r="C484" s="81">
        <f>IF(AND(INDEX(Klassenliste!$B$6:$B$40,29)&lt;&gt;0,NOT(OR(RB_Daten!B$3="",RB_Daten!B$3=0))),RB_Daten!B$3,"")</f>
        <v/>
      </c>
      <c r="D484" s="81">
        <f>IF(AND(INDEX(Klassenliste!$B$6:$B$40,29)&lt;&gt;0,NOT(OR(RB_Daten!C$3="",RB_Daten!C$3=0))),RB_Daten!C$3,"")</f>
        <v/>
      </c>
      <c r="E484" s="81">
        <f>IF(AND(INDEX(Klassenliste!$B$6:$B$40,29)&lt;&gt;0,NOT(OR(RB_Daten!D$3="",RB_Daten!D$3=0))),RB_Daten!D$3,"")</f>
        <v/>
      </c>
      <c r="F484" s="81">
        <f>IF(AND(INDEX(Klassenliste!$B$6:$B$40,29)&lt;&gt;0,NOT(OR(RB_Daten!E$3="",RB_Daten!E$3=0))),RB_Daten!E$3,"")</f>
        <v/>
      </c>
      <c r="G484" s="81">
        <f>IF(AND(INDEX(Klassenliste!$B$6:$B$40,29)&lt;&gt;0,NOT(OR(RB_Daten!F$3="",RB_Daten!F$3=0))),RB_Daten!F$3,"")</f>
        <v/>
      </c>
      <c r="H484" s="81">
        <f>IF(AND(INDEX(Klassenliste!$B$6:$B$40,29)&lt;&gt;0,NOT(OR(RB_Daten!G$3="",RB_Daten!G$3=0))),RB_Daten!G$3,"")</f>
        <v/>
      </c>
      <c r="I484" s="81">
        <f>IF(AND(INDEX(Klassenliste!$B$6:$B$40,29)&lt;&gt;0,NOT(OR(RB_Daten!H$3="",RB_Daten!H$3=0))),RB_Daten!H$3,"")</f>
        <v/>
      </c>
      <c r="J484" s="81">
        <f>IF(AND(INDEX(Klassenliste!$B$6:$B$40,29)&lt;&gt;0,NOT(OR(RB_Daten!I$3="",RB_Daten!I$3=0))),RB_Daten!I$3,"")</f>
        <v/>
      </c>
      <c r="K484" s="81">
        <f>IF(AND(INDEX(Klassenliste!$B$6:$B$40,29)&lt;&gt;0,NOT(OR(RB_Daten!J$3="",RB_Daten!J$3=0))),RB_Daten!J$3,"")</f>
        <v/>
      </c>
      <c r="L484" s="81">
        <f>IF(AND(INDEX(Klassenliste!$B$6:$B$40,29)&lt;&gt;0,NOT(OR(RB_Daten!K$3="",RB_Daten!K$3=0))),RB_Daten!K$3,"")</f>
        <v/>
      </c>
      <c r="M484" s="81">
        <f>IF(AND(INDEX(Klassenliste!$B$6:$B$40,29)&lt;&gt;0,NOT(OR(RB_Daten!L$3="",RB_Daten!L$3=0))),RB_Daten!L$3,"")</f>
        <v/>
      </c>
      <c r="N484" s="81">
        <f>IF(AND(INDEX(Klassenliste!$B$6:$B$40,29)&lt;&gt;0,NOT(OR(RB_Daten!M$3="",RB_Daten!M$3=0))),RB_Daten!M$3,"")</f>
        <v/>
      </c>
      <c r="O484" s="82">
        <f>IF(INDEX(Klassenliste!$B$6:$B$40,29)&lt;&gt;0,IF(RB_Daten!$A$4="","",RB_Daten!$A$4),"")</f>
        <v/>
      </c>
    </row>
    <row r="485" ht="18" customHeight="1">
      <c r="B485" s="83">
        <f>IF(INDEX(Klassenliste!$B$6:$B$40,29)&lt;&gt;0,"erreicht","")</f>
        <v/>
      </c>
      <c r="C485" s="84">
        <f>IF(AND(INDEX(Klassenliste!$B$6:$B$40,29)&lt;&gt;0,NOT(OR(RB_Daten!B$3="",RB_Daten!B$3=0))),IF(RB_Daten!B$33="","",RB_Daten!B$33),"")</f>
        <v/>
      </c>
      <c r="D485" s="84">
        <f>IF(AND(INDEX(Klassenliste!$B$6:$B$40,29)&lt;&gt;0,NOT(OR(RB_Daten!C$3="",RB_Daten!C$3=0))),IF(RB_Daten!C$33="","",RB_Daten!C$33),"")</f>
        <v/>
      </c>
      <c r="E485" s="84">
        <f>IF(AND(INDEX(Klassenliste!$B$6:$B$40,29)&lt;&gt;0,NOT(OR(RB_Daten!D$3="",RB_Daten!D$3=0))),IF(RB_Daten!D$33="","",RB_Daten!D$33),"")</f>
        <v/>
      </c>
      <c r="F485" s="84">
        <f>IF(AND(INDEX(Klassenliste!$B$6:$B$40,29)&lt;&gt;0,NOT(OR(RB_Daten!E$3="",RB_Daten!E$3=0))),IF(RB_Daten!E$33="","",RB_Daten!E$33),"")</f>
        <v/>
      </c>
      <c r="G485" s="84">
        <f>IF(AND(INDEX(Klassenliste!$B$6:$B$40,29)&lt;&gt;0,NOT(OR(RB_Daten!F$3="",RB_Daten!F$3=0))),IF(RB_Daten!F$33="","",RB_Daten!F$33),"")</f>
        <v/>
      </c>
      <c r="H485" s="84">
        <f>IF(AND(INDEX(Klassenliste!$B$6:$B$40,29)&lt;&gt;0,NOT(OR(RB_Daten!G$3="",RB_Daten!G$3=0))),IF(RB_Daten!G$33="","",RB_Daten!G$33),"")</f>
        <v/>
      </c>
      <c r="I485" s="84">
        <f>IF(AND(INDEX(Klassenliste!$B$6:$B$40,29)&lt;&gt;0,NOT(OR(RB_Daten!H$3="",RB_Daten!H$3=0))),IF(RB_Daten!H$33="","",RB_Daten!H$33),"")</f>
        <v/>
      </c>
      <c r="J485" s="84">
        <f>IF(AND(INDEX(Klassenliste!$B$6:$B$40,29)&lt;&gt;0,NOT(OR(RB_Daten!I$3="",RB_Daten!I$3=0))),IF(RB_Daten!I$33="","",RB_Daten!I$33),"")</f>
        <v/>
      </c>
      <c r="K485" s="84">
        <f>IF(AND(INDEX(Klassenliste!$B$6:$B$40,29)&lt;&gt;0,NOT(OR(RB_Daten!J$3="",RB_Daten!J$3=0))),IF(RB_Daten!J$33="","",RB_Daten!J$33),"")</f>
        <v/>
      </c>
      <c r="L485" s="84">
        <f>IF(AND(INDEX(Klassenliste!$B$6:$B$40,29)&lt;&gt;0,NOT(OR(RB_Daten!K$3="",RB_Daten!K$3=0))),IF(RB_Daten!K$33="","",RB_Daten!K$33),"")</f>
        <v/>
      </c>
      <c r="M485" s="84">
        <f>IF(AND(INDEX(Klassenliste!$B$6:$B$40,29)&lt;&gt;0,NOT(OR(RB_Daten!L$3="",RB_Daten!L$3=0))),IF(RB_Daten!L$33="","",RB_Daten!L$33),"")</f>
        <v/>
      </c>
      <c r="N485" s="84">
        <f>IF(AND(INDEX(Klassenliste!$B$6:$B$40,29)&lt;&gt;0,NOT(OR(RB_Daten!M$3="",RB_Daten!M$3=0))),IF(RB_Daten!M$33="","",RB_Daten!M$33),"")</f>
        <v/>
      </c>
      <c r="O485" s="85">
        <f>IF(INDEX(Klassenliste!$B$6:$B$40,29)&lt;&gt;0,IF(RB_Daten!$N33="","",RB_Daten!$N33),"")</f>
        <v/>
      </c>
    </row>
    <row r="486" ht="10" customHeight="1">
      <c r="B486" s="76" t="n"/>
      <c r="O486" s="74" t="n"/>
    </row>
    <row r="487" ht="24" customHeight="1">
      <c r="B487" s="73">
        <f>IF(INDEX(Klassenliste!$B$6:$B$40,29)&lt;&gt;0,IF(RB_Daten!$O33="","Ergebnis: –","Ergebnis: "&amp;ROUND(RB_Daten!$O33*100,1)&amp;" %"),"")</f>
        <v/>
      </c>
      <c r="F487" s="86">
        <f>IF(INDEX(Klassenliste!$B$6:$B$40,29)&lt;&gt;0,IF(RB_Daten!$P33="","Punkte: –","Punkte: "&amp;RB_Daten!$P33&amp;"  ("&amp;RB_Daten!$Q33&amp;")"),"")</f>
        <v/>
      </c>
      <c r="O487" s="74" t="n"/>
    </row>
    <row r="488" ht="16" customHeight="1">
      <c r="B488" s="87">
        <f>IF(INDEX(Klassenliste!$B$6:$B$40,29)&lt;&gt;0,"Notenschlüssel:","")</f>
        <v/>
      </c>
      <c r="C488" s="46">
        <f>IF(INDEX(Klassenliste!$B$6:$B$40,29)&lt;&gt;0,"Note 1","")</f>
        <v/>
      </c>
      <c r="D488" s="46">
        <f>IF(INDEX(Klassenliste!$B$6:$B$40,29)&lt;&gt;0,"Note 2","")</f>
        <v/>
      </c>
      <c r="E488" s="46">
        <f>IF(INDEX(Klassenliste!$B$6:$B$40,29)&lt;&gt;0,"Note 3","")</f>
        <v/>
      </c>
      <c r="F488" s="46">
        <f>IF(INDEX(Klassenliste!$B$6:$B$40,29)&lt;&gt;0,"Note 4","")</f>
        <v/>
      </c>
      <c r="G488" s="46">
        <f>IF(INDEX(Klassenliste!$B$6:$B$40,29)&lt;&gt;0,"Note 5","")</f>
        <v/>
      </c>
      <c r="H488" s="46">
        <f>IF(INDEX(Klassenliste!$B$6:$B$40,29)&lt;&gt;0,"Note 6","")</f>
        <v/>
      </c>
      <c r="O488" s="74" t="n"/>
    </row>
    <row r="489" ht="16" customHeight="1">
      <c r="B489" s="87">
        <f>IF(INDEX(Klassenliste!$B$6:$B$40,29)&lt;&gt;0,"ab Punkten:","")</f>
        <v/>
      </c>
      <c r="C489" s="88">
        <f>IF(AND(INDEX(Klassenliste!$B$6:$B$40,29)&lt;&gt;0,RB_Daten!$A$4&lt;&gt;""),CEILING(Notentabelle!$C$17*RB_Daten!$A$4,0.5),"")</f>
        <v/>
      </c>
      <c r="D489" s="88">
        <f>IF(AND(INDEX(Klassenliste!$B$6:$B$40,29)&lt;&gt;0,RB_Daten!$A$4&lt;&gt;""),CEILING(Notentabelle!$C$14*RB_Daten!$A$4,0.5),"")</f>
        <v/>
      </c>
      <c r="E489" s="88">
        <f>IF(AND(INDEX(Klassenliste!$B$6:$B$40,29)&lt;&gt;0,RB_Daten!$A$4&lt;&gt;""),CEILING(Notentabelle!$C$11*RB_Daten!$A$4,0.5),"")</f>
        <v/>
      </c>
      <c r="F489" s="88">
        <f>IF(AND(INDEX(Klassenliste!$B$6:$B$40,29)&lt;&gt;0,RB_Daten!$A$4&lt;&gt;""),CEILING(Notentabelle!$C$8*RB_Daten!$A$4,0.5),"")</f>
        <v/>
      </c>
      <c r="G489" s="88">
        <f>IF(AND(INDEX(Klassenliste!$B$6:$B$40,29)&lt;&gt;0,RB_Daten!$A$4&lt;&gt;""),CEILING(Notentabelle!$C$5*RB_Daten!$A$4,0.5),"")</f>
        <v/>
      </c>
      <c r="H489" s="88">
        <f>IF(AND(INDEX(Klassenliste!$B$6:$B$40,29)&lt;&gt;0,RB_Daten!$A$4&lt;&gt;""),CEILING(0*RB_Daten!$A$4,0.5),"")</f>
        <v/>
      </c>
      <c r="O489" s="74" t="n"/>
    </row>
    <row r="490" ht="14" customHeight="1">
      <c r="B490" s="76" t="n"/>
      <c r="O490" s="74" t="n"/>
    </row>
    <row r="491" ht="110" customHeight="1">
      <c r="B491" s="89">
        <f>IF(INDEX(Klassenliste!$B$6:$B$40,29)&lt;&gt;0,"Lob / Hinweis:","")</f>
        <v/>
      </c>
      <c r="C491" s="90">
        <f>IF(INDEX(Klassenliste!$B$6:$B$40,29)&lt;&gt;0,RB_Daten!$R$33,"")</f>
        <v/>
      </c>
      <c r="D491" s="91" t="n"/>
      <c r="E491" s="91" t="n"/>
      <c r="F491" s="91" t="n"/>
      <c r="G491" s="91" t="n"/>
      <c r="H491" s="91" t="n"/>
      <c r="I491" s="91" t="n"/>
      <c r="J491" s="91" t="n"/>
      <c r="K491" s="91" t="n"/>
      <c r="L491" s="91" t="n"/>
      <c r="M491" s="91" t="n"/>
      <c r="N491" s="91" t="n"/>
      <c r="O491" s="74" t="n"/>
    </row>
    <row r="492" ht="22" customHeight="1">
      <c r="B492" s="87">
        <f>IF(INDEX(Klassenliste!$B$6:$B$40,29)&lt;&gt;0,"Unterschrift Erziehungsberechtigte/r:","")</f>
        <v/>
      </c>
      <c r="F492" s="92" t="n"/>
      <c r="G492" s="92" t="n"/>
      <c r="H492" s="92" t="n"/>
      <c r="I492" s="92" t="n"/>
      <c r="O492" s="74" t="n"/>
    </row>
    <row r="493" ht="8" customHeight="1">
      <c r="B493" s="93" t="n"/>
      <c r="C493" s="94" t="n"/>
      <c r="D493" s="94" t="n"/>
      <c r="E493" s="94" t="n"/>
      <c r="F493" s="94" t="n"/>
      <c r="G493" s="94" t="n"/>
      <c r="H493" s="94" t="n"/>
      <c r="I493" s="94" t="n"/>
      <c r="J493" s="94" t="n"/>
      <c r="K493" s="94" t="n"/>
      <c r="L493" s="94" t="n"/>
      <c r="M493" s="94" t="n"/>
      <c r="N493" s="94" t="n"/>
      <c r="O493" s="95" t="n"/>
    </row>
    <row r="494" ht="27.5" customHeight="1"/>
    <row r="495" ht="27.5" customHeight="1"/>
    <row r="496" ht="6" customHeight="1">
      <c r="B496" s="70" t="n"/>
      <c r="C496" s="71" t="n"/>
      <c r="D496" s="71" t="n"/>
      <c r="E496" s="71" t="n"/>
      <c r="F496" s="71" t="n"/>
      <c r="G496" s="71" t="n"/>
      <c r="H496" s="71" t="n"/>
      <c r="I496" s="71" t="n"/>
      <c r="J496" s="71" t="n"/>
      <c r="K496" s="71" t="n"/>
      <c r="L496" s="71" t="n"/>
      <c r="M496" s="71" t="n"/>
      <c r="N496" s="71" t="n"/>
      <c r="O496" s="72" t="n"/>
    </row>
    <row r="497" ht="20" customHeight="1">
      <c r="B497" s="73">
        <f>IF(INDEX(Klassenliste!$B$6:$B$40,30)&lt;&gt;0,"Klausur "&amp;$C$2&amp;" · "&amp;Klassenliste!$E$2&amp;" · "&amp;Klassenliste!$J$2&amp;IF(RB_Daten!$A$3="",""," · "&amp;RB_Daten!$A$3),"")</f>
        <v/>
      </c>
      <c r="J497" s="12">
        <f>IF(INDEX(Klassenliste!$B$6:$B$40,30)&lt;&gt;0,IF(RB_Daten!$A$2="","Datum: ______","Datum: "&amp;IFERROR(TEXT(RB_Daten!$A$2,"TT.MM.JJJJ"),RB_Daten!$A$2)),"")</f>
        <v/>
      </c>
      <c r="O497" s="74" t="n"/>
    </row>
    <row r="498" ht="20" customHeight="1">
      <c r="B498" s="75">
        <f>IF(INDEX(Klassenliste!$B$6:$B$40,30)&lt;&gt;0,"Name: "&amp;INDEX(Klassenliste!$C$6:$C$40,30)&amp;" "&amp;INDEX(Klassenliste!$B$6:$B$40,30),"")</f>
        <v/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74" t="n"/>
    </row>
    <row r="499" ht="8" customHeight="1">
      <c r="B499" s="76" t="n"/>
      <c r="O499" s="74" t="n"/>
    </row>
    <row r="500" ht="18" customHeight="1">
      <c r="B500" s="77">
        <f>IF(INDEX(Klassenliste!$B$6:$B$40,30)&lt;&gt;0,"Aufgabe","")</f>
        <v/>
      </c>
      <c r="C500" s="78">
        <f>IF(AND(INDEX(Klassenliste!$B$6:$B$40,30)&lt;&gt;0,NOT(OR(RB_Daten!B$3="",RB_Daten!B$3=0))),RB_Daten!B$2,"")</f>
        <v/>
      </c>
      <c r="D500" s="78">
        <f>IF(AND(INDEX(Klassenliste!$B$6:$B$40,30)&lt;&gt;0,NOT(OR(RB_Daten!C$3="",RB_Daten!C$3=0))),RB_Daten!C$2,"")</f>
        <v/>
      </c>
      <c r="E500" s="78">
        <f>IF(AND(INDEX(Klassenliste!$B$6:$B$40,30)&lt;&gt;0,NOT(OR(RB_Daten!D$3="",RB_Daten!D$3=0))),RB_Daten!D$2,"")</f>
        <v/>
      </c>
      <c r="F500" s="78">
        <f>IF(AND(INDEX(Klassenliste!$B$6:$B$40,30)&lt;&gt;0,NOT(OR(RB_Daten!E$3="",RB_Daten!E$3=0))),RB_Daten!E$2,"")</f>
        <v/>
      </c>
      <c r="G500" s="78">
        <f>IF(AND(INDEX(Klassenliste!$B$6:$B$40,30)&lt;&gt;0,NOT(OR(RB_Daten!F$3="",RB_Daten!F$3=0))),RB_Daten!F$2,"")</f>
        <v/>
      </c>
      <c r="H500" s="78">
        <f>IF(AND(INDEX(Klassenliste!$B$6:$B$40,30)&lt;&gt;0,NOT(OR(RB_Daten!G$3="",RB_Daten!G$3=0))),RB_Daten!G$2,"")</f>
        <v/>
      </c>
      <c r="I500" s="78">
        <f>IF(AND(INDEX(Klassenliste!$B$6:$B$40,30)&lt;&gt;0,NOT(OR(RB_Daten!H$3="",RB_Daten!H$3=0))),RB_Daten!H$2,"")</f>
        <v/>
      </c>
      <c r="J500" s="78">
        <f>IF(AND(INDEX(Klassenliste!$B$6:$B$40,30)&lt;&gt;0,NOT(OR(RB_Daten!I$3="",RB_Daten!I$3=0))),RB_Daten!I$2,"")</f>
        <v/>
      </c>
      <c r="K500" s="78">
        <f>IF(AND(INDEX(Klassenliste!$B$6:$B$40,30)&lt;&gt;0,NOT(OR(RB_Daten!J$3="",RB_Daten!J$3=0))),RB_Daten!J$2,"")</f>
        <v/>
      </c>
      <c r="L500" s="78">
        <f>IF(AND(INDEX(Klassenliste!$B$6:$B$40,30)&lt;&gt;0,NOT(OR(RB_Daten!K$3="",RB_Daten!K$3=0))),RB_Daten!K$2,"")</f>
        <v/>
      </c>
      <c r="M500" s="78">
        <f>IF(AND(INDEX(Klassenliste!$B$6:$B$40,30)&lt;&gt;0,NOT(OR(RB_Daten!L$3="",RB_Daten!L$3=0))),RB_Daten!L$2,"")</f>
        <v/>
      </c>
      <c r="N500" s="78">
        <f>IF(AND(INDEX(Klassenliste!$B$6:$B$40,30)&lt;&gt;0,NOT(OR(RB_Daten!M$3="",RB_Daten!M$3=0))),RB_Daten!M$2,"")</f>
        <v/>
      </c>
      <c r="O500" s="79">
        <f>IF(INDEX(Klassenliste!$B$6:$B$40,30)&lt;&gt;0,"Gesamt","")</f>
        <v/>
      </c>
    </row>
    <row r="501" ht="18" customHeight="1">
      <c r="B501" s="80">
        <f>IF(INDEX(Klassenliste!$B$6:$B$40,30)&lt;&gt;0,"max. Punkte","")</f>
        <v/>
      </c>
      <c r="C501" s="81">
        <f>IF(AND(INDEX(Klassenliste!$B$6:$B$40,30)&lt;&gt;0,NOT(OR(RB_Daten!B$3="",RB_Daten!B$3=0))),RB_Daten!B$3,"")</f>
        <v/>
      </c>
      <c r="D501" s="81">
        <f>IF(AND(INDEX(Klassenliste!$B$6:$B$40,30)&lt;&gt;0,NOT(OR(RB_Daten!C$3="",RB_Daten!C$3=0))),RB_Daten!C$3,"")</f>
        <v/>
      </c>
      <c r="E501" s="81">
        <f>IF(AND(INDEX(Klassenliste!$B$6:$B$40,30)&lt;&gt;0,NOT(OR(RB_Daten!D$3="",RB_Daten!D$3=0))),RB_Daten!D$3,"")</f>
        <v/>
      </c>
      <c r="F501" s="81">
        <f>IF(AND(INDEX(Klassenliste!$B$6:$B$40,30)&lt;&gt;0,NOT(OR(RB_Daten!E$3="",RB_Daten!E$3=0))),RB_Daten!E$3,"")</f>
        <v/>
      </c>
      <c r="G501" s="81">
        <f>IF(AND(INDEX(Klassenliste!$B$6:$B$40,30)&lt;&gt;0,NOT(OR(RB_Daten!F$3="",RB_Daten!F$3=0))),RB_Daten!F$3,"")</f>
        <v/>
      </c>
      <c r="H501" s="81">
        <f>IF(AND(INDEX(Klassenliste!$B$6:$B$40,30)&lt;&gt;0,NOT(OR(RB_Daten!G$3="",RB_Daten!G$3=0))),RB_Daten!G$3,"")</f>
        <v/>
      </c>
      <c r="I501" s="81">
        <f>IF(AND(INDEX(Klassenliste!$B$6:$B$40,30)&lt;&gt;0,NOT(OR(RB_Daten!H$3="",RB_Daten!H$3=0))),RB_Daten!H$3,"")</f>
        <v/>
      </c>
      <c r="J501" s="81">
        <f>IF(AND(INDEX(Klassenliste!$B$6:$B$40,30)&lt;&gt;0,NOT(OR(RB_Daten!I$3="",RB_Daten!I$3=0))),RB_Daten!I$3,"")</f>
        <v/>
      </c>
      <c r="K501" s="81">
        <f>IF(AND(INDEX(Klassenliste!$B$6:$B$40,30)&lt;&gt;0,NOT(OR(RB_Daten!J$3="",RB_Daten!J$3=0))),RB_Daten!J$3,"")</f>
        <v/>
      </c>
      <c r="L501" s="81">
        <f>IF(AND(INDEX(Klassenliste!$B$6:$B$40,30)&lt;&gt;0,NOT(OR(RB_Daten!K$3="",RB_Daten!K$3=0))),RB_Daten!K$3,"")</f>
        <v/>
      </c>
      <c r="M501" s="81">
        <f>IF(AND(INDEX(Klassenliste!$B$6:$B$40,30)&lt;&gt;0,NOT(OR(RB_Daten!L$3="",RB_Daten!L$3=0))),RB_Daten!L$3,"")</f>
        <v/>
      </c>
      <c r="N501" s="81">
        <f>IF(AND(INDEX(Klassenliste!$B$6:$B$40,30)&lt;&gt;0,NOT(OR(RB_Daten!M$3="",RB_Daten!M$3=0))),RB_Daten!M$3,"")</f>
        <v/>
      </c>
      <c r="O501" s="82">
        <f>IF(INDEX(Klassenliste!$B$6:$B$40,30)&lt;&gt;0,IF(RB_Daten!$A$4="","",RB_Daten!$A$4),"")</f>
        <v/>
      </c>
    </row>
    <row r="502" ht="18" customHeight="1">
      <c r="B502" s="83">
        <f>IF(INDEX(Klassenliste!$B$6:$B$40,30)&lt;&gt;0,"erreicht","")</f>
        <v/>
      </c>
      <c r="C502" s="84">
        <f>IF(AND(INDEX(Klassenliste!$B$6:$B$40,30)&lt;&gt;0,NOT(OR(RB_Daten!B$3="",RB_Daten!B$3=0))),IF(RB_Daten!B$34="","",RB_Daten!B$34),"")</f>
        <v/>
      </c>
      <c r="D502" s="84">
        <f>IF(AND(INDEX(Klassenliste!$B$6:$B$40,30)&lt;&gt;0,NOT(OR(RB_Daten!C$3="",RB_Daten!C$3=0))),IF(RB_Daten!C$34="","",RB_Daten!C$34),"")</f>
        <v/>
      </c>
      <c r="E502" s="84">
        <f>IF(AND(INDEX(Klassenliste!$B$6:$B$40,30)&lt;&gt;0,NOT(OR(RB_Daten!D$3="",RB_Daten!D$3=0))),IF(RB_Daten!D$34="","",RB_Daten!D$34),"")</f>
        <v/>
      </c>
      <c r="F502" s="84">
        <f>IF(AND(INDEX(Klassenliste!$B$6:$B$40,30)&lt;&gt;0,NOT(OR(RB_Daten!E$3="",RB_Daten!E$3=0))),IF(RB_Daten!E$34="","",RB_Daten!E$34),"")</f>
        <v/>
      </c>
      <c r="G502" s="84">
        <f>IF(AND(INDEX(Klassenliste!$B$6:$B$40,30)&lt;&gt;0,NOT(OR(RB_Daten!F$3="",RB_Daten!F$3=0))),IF(RB_Daten!F$34="","",RB_Daten!F$34),"")</f>
        <v/>
      </c>
      <c r="H502" s="84">
        <f>IF(AND(INDEX(Klassenliste!$B$6:$B$40,30)&lt;&gt;0,NOT(OR(RB_Daten!G$3="",RB_Daten!G$3=0))),IF(RB_Daten!G$34="","",RB_Daten!G$34),"")</f>
        <v/>
      </c>
      <c r="I502" s="84">
        <f>IF(AND(INDEX(Klassenliste!$B$6:$B$40,30)&lt;&gt;0,NOT(OR(RB_Daten!H$3="",RB_Daten!H$3=0))),IF(RB_Daten!H$34="","",RB_Daten!H$34),"")</f>
        <v/>
      </c>
      <c r="J502" s="84">
        <f>IF(AND(INDEX(Klassenliste!$B$6:$B$40,30)&lt;&gt;0,NOT(OR(RB_Daten!I$3="",RB_Daten!I$3=0))),IF(RB_Daten!I$34="","",RB_Daten!I$34),"")</f>
        <v/>
      </c>
      <c r="K502" s="84">
        <f>IF(AND(INDEX(Klassenliste!$B$6:$B$40,30)&lt;&gt;0,NOT(OR(RB_Daten!J$3="",RB_Daten!J$3=0))),IF(RB_Daten!J$34="","",RB_Daten!J$34),"")</f>
        <v/>
      </c>
      <c r="L502" s="84">
        <f>IF(AND(INDEX(Klassenliste!$B$6:$B$40,30)&lt;&gt;0,NOT(OR(RB_Daten!K$3="",RB_Daten!K$3=0))),IF(RB_Daten!K$34="","",RB_Daten!K$34),"")</f>
        <v/>
      </c>
      <c r="M502" s="84">
        <f>IF(AND(INDEX(Klassenliste!$B$6:$B$40,30)&lt;&gt;0,NOT(OR(RB_Daten!L$3="",RB_Daten!L$3=0))),IF(RB_Daten!L$34="","",RB_Daten!L$34),"")</f>
        <v/>
      </c>
      <c r="N502" s="84">
        <f>IF(AND(INDEX(Klassenliste!$B$6:$B$40,30)&lt;&gt;0,NOT(OR(RB_Daten!M$3="",RB_Daten!M$3=0))),IF(RB_Daten!M$34="","",RB_Daten!M$34),"")</f>
        <v/>
      </c>
      <c r="O502" s="85">
        <f>IF(INDEX(Klassenliste!$B$6:$B$40,30)&lt;&gt;0,IF(RB_Daten!$N34="","",RB_Daten!$N34),"")</f>
        <v/>
      </c>
    </row>
    <row r="503" ht="10" customHeight="1">
      <c r="B503" s="76" t="n"/>
      <c r="O503" s="74" t="n"/>
    </row>
    <row r="504" ht="24" customHeight="1">
      <c r="B504" s="73">
        <f>IF(INDEX(Klassenliste!$B$6:$B$40,30)&lt;&gt;0,IF(RB_Daten!$O34="","Ergebnis: –","Ergebnis: "&amp;ROUND(RB_Daten!$O34*100,1)&amp;" %"),"")</f>
        <v/>
      </c>
      <c r="F504" s="86">
        <f>IF(INDEX(Klassenliste!$B$6:$B$40,30)&lt;&gt;0,IF(RB_Daten!$P34="","Punkte: –","Punkte: "&amp;RB_Daten!$P34&amp;"  ("&amp;RB_Daten!$Q34&amp;")"),"")</f>
        <v/>
      </c>
      <c r="O504" s="74" t="n"/>
    </row>
    <row r="505" ht="16" customHeight="1">
      <c r="B505" s="87">
        <f>IF(INDEX(Klassenliste!$B$6:$B$40,30)&lt;&gt;0,"Notenschlüssel:","")</f>
        <v/>
      </c>
      <c r="C505" s="46">
        <f>IF(INDEX(Klassenliste!$B$6:$B$40,30)&lt;&gt;0,"Note 1","")</f>
        <v/>
      </c>
      <c r="D505" s="46">
        <f>IF(INDEX(Klassenliste!$B$6:$B$40,30)&lt;&gt;0,"Note 2","")</f>
        <v/>
      </c>
      <c r="E505" s="46">
        <f>IF(INDEX(Klassenliste!$B$6:$B$40,30)&lt;&gt;0,"Note 3","")</f>
        <v/>
      </c>
      <c r="F505" s="46">
        <f>IF(INDEX(Klassenliste!$B$6:$B$40,30)&lt;&gt;0,"Note 4","")</f>
        <v/>
      </c>
      <c r="G505" s="46">
        <f>IF(INDEX(Klassenliste!$B$6:$B$40,30)&lt;&gt;0,"Note 5","")</f>
        <v/>
      </c>
      <c r="H505" s="46">
        <f>IF(INDEX(Klassenliste!$B$6:$B$40,30)&lt;&gt;0,"Note 6","")</f>
        <v/>
      </c>
      <c r="O505" s="74" t="n"/>
    </row>
    <row r="506" ht="16" customHeight="1">
      <c r="B506" s="87">
        <f>IF(INDEX(Klassenliste!$B$6:$B$40,30)&lt;&gt;0,"ab Punkten:","")</f>
        <v/>
      </c>
      <c r="C506" s="88">
        <f>IF(AND(INDEX(Klassenliste!$B$6:$B$40,30)&lt;&gt;0,RB_Daten!$A$4&lt;&gt;""),CEILING(Notentabelle!$C$17*RB_Daten!$A$4,0.5),"")</f>
        <v/>
      </c>
      <c r="D506" s="88">
        <f>IF(AND(INDEX(Klassenliste!$B$6:$B$40,30)&lt;&gt;0,RB_Daten!$A$4&lt;&gt;""),CEILING(Notentabelle!$C$14*RB_Daten!$A$4,0.5),"")</f>
        <v/>
      </c>
      <c r="E506" s="88">
        <f>IF(AND(INDEX(Klassenliste!$B$6:$B$40,30)&lt;&gt;0,RB_Daten!$A$4&lt;&gt;""),CEILING(Notentabelle!$C$11*RB_Daten!$A$4,0.5),"")</f>
        <v/>
      </c>
      <c r="F506" s="88">
        <f>IF(AND(INDEX(Klassenliste!$B$6:$B$40,30)&lt;&gt;0,RB_Daten!$A$4&lt;&gt;""),CEILING(Notentabelle!$C$8*RB_Daten!$A$4,0.5),"")</f>
        <v/>
      </c>
      <c r="G506" s="88">
        <f>IF(AND(INDEX(Klassenliste!$B$6:$B$40,30)&lt;&gt;0,RB_Daten!$A$4&lt;&gt;""),CEILING(Notentabelle!$C$5*RB_Daten!$A$4,0.5),"")</f>
        <v/>
      </c>
      <c r="H506" s="88">
        <f>IF(AND(INDEX(Klassenliste!$B$6:$B$40,30)&lt;&gt;0,RB_Daten!$A$4&lt;&gt;""),CEILING(0*RB_Daten!$A$4,0.5),"")</f>
        <v/>
      </c>
      <c r="O506" s="74" t="n"/>
    </row>
    <row r="507" ht="14" customHeight="1">
      <c r="B507" s="76" t="n"/>
      <c r="O507" s="74" t="n"/>
    </row>
    <row r="508" ht="110" customHeight="1">
      <c r="B508" s="89">
        <f>IF(INDEX(Klassenliste!$B$6:$B$40,30)&lt;&gt;0,"Lob / Hinweis:","")</f>
        <v/>
      </c>
      <c r="C508" s="90">
        <f>IF(INDEX(Klassenliste!$B$6:$B$40,30)&lt;&gt;0,RB_Daten!$R$34,"")</f>
        <v/>
      </c>
      <c r="D508" s="91" t="n"/>
      <c r="E508" s="91" t="n"/>
      <c r="F508" s="91" t="n"/>
      <c r="G508" s="91" t="n"/>
      <c r="H508" s="91" t="n"/>
      <c r="I508" s="91" t="n"/>
      <c r="J508" s="91" t="n"/>
      <c r="K508" s="91" t="n"/>
      <c r="L508" s="91" t="n"/>
      <c r="M508" s="91" t="n"/>
      <c r="N508" s="91" t="n"/>
      <c r="O508" s="74" t="n"/>
    </row>
    <row r="509" ht="22" customHeight="1">
      <c r="B509" s="87">
        <f>IF(INDEX(Klassenliste!$B$6:$B$40,30)&lt;&gt;0,"Unterschrift Erziehungsberechtigte/r:","")</f>
        <v/>
      </c>
      <c r="F509" s="92" t="n"/>
      <c r="G509" s="92" t="n"/>
      <c r="H509" s="92" t="n"/>
      <c r="I509" s="92" t="n"/>
      <c r="O509" s="74" t="n"/>
    </row>
    <row r="510" ht="8" customHeight="1">
      <c r="B510" s="93" t="n"/>
      <c r="C510" s="94" t="n"/>
      <c r="D510" s="94" t="n"/>
      <c r="E510" s="94" t="n"/>
      <c r="F510" s="94" t="n"/>
      <c r="G510" s="94" t="n"/>
      <c r="H510" s="94" t="n"/>
      <c r="I510" s="94" t="n"/>
      <c r="J510" s="94" t="n"/>
      <c r="K510" s="94" t="n"/>
      <c r="L510" s="94" t="n"/>
      <c r="M510" s="94" t="n"/>
      <c r="N510" s="94" t="n"/>
      <c r="O510" s="95" t="n"/>
    </row>
    <row r="511" ht="27.5" customHeight="1"/>
    <row r="512" ht="27.5" customHeight="1"/>
    <row r="513" ht="6" customHeight="1">
      <c r="B513" s="70" t="n"/>
      <c r="C513" s="71" t="n"/>
      <c r="D513" s="71" t="n"/>
      <c r="E513" s="71" t="n"/>
      <c r="F513" s="71" t="n"/>
      <c r="G513" s="71" t="n"/>
      <c r="H513" s="71" t="n"/>
      <c r="I513" s="71" t="n"/>
      <c r="J513" s="71" t="n"/>
      <c r="K513" s="71" t="n"/>
      <c r="L513" s="71" t="n"/>
      <c r="M513" s="71" t="n"/>
      <c r="N513" s="71" t="n"/>
      <c r="O513" s="72" t="n"/>
    </row>
    <row r="514" ht="20" customHeight="1">
      <c r="B514" s="73">
        <f>IF(INDEX(Klassenliste!$B$6:$B$40,31)&lt;&gt;0,"Klausur "&amp;$C$2&amp;" · "&amp;Klassenliste!$E$2&amp;" · "&amp;Klassenliste!$J$2&amp;IF(RB_Daten!$A$3="",""," · "&amp;RB_Daten!$A$3),"")</f>
        <v/>
      </c>
      <c r="J514" s="12">
        <f>IF(INDEX(Klassenliste!$B$6:$B$40,31)&lt;&gt;0,IF(RB_Daten!$A$2="","Datum: ______","Datum: "&amp;IFERROR(TEXT(RB_Daten!$A$2,"TT.MM.JJJJ"),RB_Daten!$A$2)),"")</f>
        <v/>
      </c>
      <c r="O514" s="74" t="n"/>
    </row>
    <row r="515" ht="20" customHeight="1">
      <c r="B515" s="75">
        <f>IF(INDEX(Klassenliste!$B$6:$B$40,31)&lt;&gt;0,"Name: "&amp;INDEX(Klassenliste!$C$6:$C$40,31)&amp;" "&amp;INDEX(Klassenliste!$B$6:$B$40,31),"")</f>
        <v/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74" t="n"/>
    </row>
    <row r="516" ht="8" customHeight="1">
      <c r="B516" s="76" t="n"/>
      <c r="O516" s="74" t="n"/>
    </row>
    <row r="517" ht="18" customHeight="1">
      <c r="B517" s="77">
        <f>IF(INDEX(Klassenliste!$B$6:$B$40,31)&lt;&gt;0,"Aufgabe","")</f>
        <v/>
      </c>
      <c r="C517" s="78">
        <f>IF(AND(INDEX(Klassenliste!$B$6:$B$40,31)&lt;&gt;0,NOT(OR(RB_Daten!B$3="",RB_Daten!B$3=0))),RB_Daten!B$2,"")</f>
        <v/>
      </c>
      <c r="D517" s="78">
        <f>IF(AND(INDEX(Klassenliste!$B$6:$B$40,31)&lt;&gt;0,NOT(OR(RB_Daten!C$3="",RB_Daten!C$3=0))),RB_Daten!C$2,"")</f>
        <v/>
      </c>
      <c r="E517" s="78">
        <f>IF(AND(INDEX(Klassenliste!$B$6:$B$40,31)&lt;&gt;0,NOT(OR(RB_Daten!D$3="",RB_Daten!D$3=0))),RB_Daten!D$2,"")</f>
        <v/>
      </c>
      <c r="F517" s="78">
        <f>IF(AND(INDEX(Klassenliste!$B$6:$B$40,31)&lt;&gt;0,NOT(OR(RB_Daten!E$3="",RB_Daten!E$3=0))),RB_Daten!E$2,"")</f>
        <v/>
      </c>
      <c r="G517" s="78">
        <f>IF(AND(INDEX(Klassenliste!$B$6:$B$40,31)&lt;&gt;0,NOT(OR(RB_Daten!F$3="",RB_Daten!F$3=0))),RB_Daten!F$2,"")</f>
        <v/>
      </c>
      <c r="H517" s="78">
        <f>IF(AND(INDEX(Klassenliste!$B$6:$B$40,31)&lt;&gt;0,NOT(OR(RB_Daten!G$3="",RB_Daten!G$3=0))),RB_Daten!G$2,"")</f>
        <v/>
      </c>
      <c r="I517" s="78">
        <f>IF(AND(INDEX(Klassenliste!$B$6:$B$40,31)&lt;&gt;0,NOT(OR(RB_Daten!H$3="",RB_Daten!H$3=0))),RB_Daten!H$2,"")</f>
        <v/>
      </c>
      <c r="J517" s="78">
        <f>IF(AND(INDEX(Klassenliste!$B$6:$B$40,31)&lt;&gt;0,NOT(OR(RB_Daten!I$3="",RB_Daten!I$3=0))),RB_Daten!I$2,"")</f>
        <v/>
      </c>
      <c r="K517" s="78">
        <f>IF(AND(INDEX(Klassenliste!$B$6:$B$40,31)&lt;&gt;0,NOT(OR(RB_Daten!J$3="",RB_Daten!J$3=0))),RB_Daten!J$2,"")</f>
        <v/>
      </c>
      <c r="L517" s="78">
        <f>IF(AND(INDEX(Klassenliste!$B$6:$B$40,31)&lt;&gt;0,NOT(OR(RB_Daten!K$3="",RB_Daten!K$3=0))),RB_Daten!K$2,"")</f>
        <v/>
      </c>
      <c r="M517" s="78">
        <f>IF(AND(INDEX(Klassenliste!$B$6:$B$40,31)&lt;&gt;0,NOT(OR(RB_Daten!L$3="",RB_Daten!L$3=0))),RB_Daten!L$2,"")</f>
        <v/>
      </c>
      <c r="N517" s="78">
        <f>IF(AND(INDEX(Klassenliste!$B$6:$B$40,31)&lt;&gt;0,NOT(OR(RB_Daten!M$3="",RB_Daten!M$3=0))),RB_Daten!M$2,"")</f>
        <v/>
      </c>
      <c r="O517" s="79">
        <f>IF(INDEX(Klassenliste!$B$6:$B$40,31)&lt;&gt;0,"Gesamt","")</f>
        <v/>
      </c>
    </row>
    <row r="518" ht="18" customHeight="1">
      <c r="B518" s="80">
        <f>IF(INDEX(Klassenliste!$B$6:$B$40,31)&lt;&gt;0,"max. Punkte","")</f>
        <v/>
      </c>
      <c r="C518" s="81">
        <f>IF(AND(INDEX(Klassenliste!$B$6:$B$40,31)&lt;&gt;0,NOT(OR(RB_Daten!B$3="",RB_Daten!B$3=0))),RB_Daten!B$3,"")</f>
        <v/>
      </c>
      <c r="D518" s="81">
        <f>IF(AND(INDEX(Klassenliste!$B$6:$B$40,31)&lt;&gt;0,NOT(OR(RB_Daten!C$3="",RB_Daten!C$3=0))),RB_Daten!C$3,"")</f>
        <v/>
      </c>
      <c r="E518" s="81">
        <f>IF(AND(INDEX(Klassenliste!$B$6:$B$40,31)&lt;&gt;0,NOT(OR(RB_Daten!D$3="",RB_Daten!D$3=0))),RB_Daten!D$3,"")</f>
        <v/>
      </c>
      <c r="F518" s="81">
        <f>IF(AND(INDEX(Klassenliste!$B$6:$B$40,31)&lt;&gt;0,NOT(OR(RB_Daten!E$3="",RB_Daten!E$3=0))),RB_Daten!E$3,"")</f>
        <v/>
      </c>
      <c r="G518" s="81">
        <f>IF(AND(INDEX(Klassenliste!$B$6:$B$40,31)&lt;&gt;0,NOT(OR(RB_Daten!F$3="",RB_Daten!F$3=0))),RB_Daten!F$3,"")</f>
        <v/>
      </c>
      <c r="H518" s="81">
        <f>IF(AND(INDEX(Klassenliste!$B$6:$B$40,31)&lt;&gt;0,NOT(OR(RB_Daten!G$3="",RB_Daten!G$3=0))),RB_Daten!G$3,"")</f>
        <v/>
      </c>
      <c r="I518" s="81">
        <f>IF(AND(INDEX(Klassenliste!$B$6:$B$40,31)&lt;&gt;0,NOT(OR(RB_Daten!H$3="",RB_Daten!H$3=0))),RB_Daten!H$3,"")</f>
        <v/>
      </c>
      <c r="J518" s="81">
        <f>IF(AND(INDEX(Klassenliste!$B$6:$B$40,31)&lt;&gt;0,NOT(OR(RB_Daten!I$3="",RB_Daten!I$3=0))),RB_Daten!I$3,"")</f>
        <v/>
      </c>
      <c r="K518" s="81">
        <f>IF(AND(INDEX(Klassenliste!$B$6:$B$40,31)&lt;&gt;0,NOT(OR(RB_Daten!J$3="",RB_Daten!J$3=0))),RB_Daten!J$3,"")</f>
        <v/>
      </c>
      <c r="L518" s="81">
        <f>IF(AND(INDEX(Klassenliste!$B$6:$B$40,31)&lt;&gt;0,NOT(OR(RB_Daten!K$3="",RB_Daten!K$3=0))),RB_Daten!K$3,"")</f>
        <v/>
      </c>
      <c r="M518" s="81">
        <f>IF(AND(INDEX(Klassenliste!$B$6:$B$40,31)&lt;&gt;0,NOT(OR(RB_Daten!L$3="",RB_Daten!L$3=0))),RB_Daten!L$3,"")</f>
        <v/>
      </c>
      <c r="N518" s="81">
        <f>IF(AND(INDEX(Klassenliste!$B$6:$B$40,31)&lt;&gt;0,NOT(OR(RB_Daten!M$3="",RB_Daten!M$3=0))),RB_Daten!M$3,"")</f>
        <v/>
      </c>
      <c r="O518" s="82">
        <f>IF(INDEX(Klassenliste!$B$6:$B$40,31)&lt;&gt;0,IF(RB_Daten!$A$4="","",RB_Daten!$A$4),"")</f>
        <v/>
      </c>
    </row>
    <row r="519" ht="18" customHeight="1">
      <c r="B519" s="83">
        <f>IF(INDEX(Klassenliste!$B$6:$B$40,31)&lt;&gt;0,"erreicht","")</f>
        <v/>
      </c>
      <c r="C519" s="84">
        <f>IF(AND(INDEX(Klassenliste!$B$6:$B$40,31)&lt;&gt;0,NOT(OR(RB_Daten!B$3="",RB_Daten!B$3=0))),IF(RB_Daten!B$35="","",RB_Daten!B$35),"")</f>
        <v/>
      </c>
      <c r="D519" s="84">
        <f>IF(AND(INDEX(Klassenliste!$B$6:$B$40,31)&lt;&gt;0,NOT(OR(RB_Daten!C$3="",RB_Daten!C$3=0))),IF(RB_Daten!C$35="","",RB_Daten!C$35),"")</f>
        <v/>
      </c>
      <c r="E519" s="84">
        <f>IF(AND(INDEX(Klassenliste!$B$6:$B$40,31)&lt;&gt;0,NOT(OR(RB_Daten!D$3="",RB_Daten!D$3=0))),IF(RB_Daten!D$35="","",RB_Daten!D$35),"")</f>
        <v/>
      </c>
      <c r="F519" s="84">
        <f>IF(AND(INDEX(Klassenliste!$B$6:$B$40,31)&lt;&gt;0,NOT(OR(RB_Daten!E$3="",RB_Daten!E$3=0))),IF(RB_Daten!E$35="","",RB_Daten!E$35),"")</f>
        <v/>
      </c>
      <c r="G519" s="84">
        <f>IF(AND(INDEX(Klassenliste!$B$6:$B$40,31)&lt;&gt;0,NOT(OR(RB_Daten!F$3="",RB_Daten!F$3=0))),IF(RB_Daten!F$35="","",RB_Daten!F$35),"")</f>
        <v/>
      </c>
      <c r="H519" s="84">
        <f>IF(AND(INDEX(Klassenliste!$B$6:$B$40,31)&lt;&gt;0,NOT(OR(RB_Daten!G$3="",RB_Daten!G$3=0))),IF(RB_Daten!G$35="","",RB_Daten!G$35),"")</f>
        <v/>
      </c>
      <c r="I519" s="84">
        <f>IF(AND(INDEX(Klassenliste!$B$6:$B$40,31)&lt;&gt;0,NOT(OR(RB_Daten!H$3="",RB_Daten!H$3=0))),IF(RB_Daten!H$35="","",RB_Daten!H$35),"")</f>
        <v/>
      </c>
      <c r="J519" s="84">
        <f>IF(AND(INDEX(Klassenliste!$B$6:$B$40,31)&lt;&gt;0,NOT(OR(RB_Daten!I$3="",RB_Daten!I$3=0))),IF(RB_Daten!I$35="","",RB_Daten!I$35),"")</f>
        <v/>
      </c>
      <c r="K519" s="84">
        <f>IF(AND(INDEX(Klassenliste!$B$6:$B$40,31)&lt;&gt;0,NOT(OR(RB_Daten!J$3="",RB_Daten!J$3=0))),IF(RB_Daten!J$35="","",RB_Daten!J$35),"")</f>
        <v/>
      </c>
      <c r="L519" s="84">
        <f>IF(AND(INDEX(Klassenliste!$B$6:$B$40,31)&lt;&gt;0,NOT(OR(RB_Daten!K$3="",RB_Daten!K$3=0))),IF(RB_Daten!K$35="","",RB_Daten!K$35),"")</f>
        <v/>
      </c>
      <c r="M519" s="84">
        <f>IF(AND(INDEX(Klassenliste!$B$6:$B$40,31)&lt;&gt;0,NOT(OR(RB_Daten!L$3="",RB_Daten!L$3=0))),IF(RB_Daten!L$35="","",RB_Daten!L$35),"")</f>
        <v/>
      </c>
      <c r="N519" s="84">
        <f>IF(AND(INDEX(Klassenliste!$B$6:$B$40,31)&lt;&gt;0,NOT(OR(RB_Daten!M$3="",RB_Daten!M$3=0))),IF(RB_Daten!M$35="","",RB_Daten!M$35),"")</f>
        <v/>
      </c>
      <c r="O519" s="85">
        <f>IF(INDEX(Klassenliste!$B$6:$B$40,31)&lt;&gt;0,IF(RB_Daten!$N35="","",RB_Daten!$N35),"")</f>
        <v/>
      </c>
    </row>
    <row r="520" ht="10" customHeight="1">
      <c r="B520" s="76" t="n"/>
      <c r="O520" s="74" t="n"/>
    </row>
    <row r="521" ht="24" customHeight="1">
      <c r="B521" s="73">
        <f>IF(INDEX(Klassenliste!$B$6:$B$40,31)&lt;&gt;0,IF(RB_Daten!$O35="","Ergebnis: –","Ergebnis: "&amp;ROUND(RB_Daten!$O35*100,1)&amp;" %"),"")</f>
        <v/>
      </c>
      <c r="F521" s="86">
        <f>IF(INDEX(Klassenliste!$B$6:$B$40,31)&lt;&gt;0,IF(RB_Daten!$P35="","Punkte: –","Punkte: "&amp;RB_Daten!$P35&amp;"  ("&amp;RB_Daten!$Q35&amp;")"),"")</f>
        <v/>
      </c>
      <c r="O521" s="74" t="n"/>
    </row>
    <row r="522" ht="16" customHeight="1">
      <c r="B522" s="87">
        <f>IF(INDEX(Klassenliste!$B$6:$B$40,31)&lt;&gt;0,"Notenschlüssel:","")</f>
        <v/>
      </c>
      <c r="C522" s="46">
        <f>IF(INDEX(Klassenliste!$B$6:$B$40,31)&lt;&gt;0,"Note 1","")</f>
        <v/>
      </c>
      <c r="D522" s="46">
        <f>IF(INDEX(Klassenliste!$B$6:$B$40,31)&lt;&gt;0,"Note 2","")</f>
        <v/>
      </c>
      <c r="E522" s="46">
        <f>IF(INDEX(Klassenliste!$B$6:$B$40,31)&lt;&gt;0,"Note 3","")</f>
        <v/>
      </c>
      <c r="F522" s="46">
        <f>IF(INDEX(Klassenliste!$B$6:$B$40,31)&lt;&gt;0,"Note 4","")</f>
        <v/>
      </c>
      <c r="G522" s="46">
        <f>IF(INDEX(Klassenliste!$B$6:$B$40,31)&lt;&gt;0,"Note 5","")</f>
        <v/>
      </c>
      <c r="H522" s="46">
        <f>IF(INDEX(Klassenliste!$B$6:$B$40,31)&lt;&gt;0,"Note 6","")</f>
        <v/>
      </c>
      <c r="O522" s="74" t="n"/>
    </row>
    <row r="523" ht="16" customHeight="1">
      <c r="B523" s="87">
        <f>IF(INDEX(Klassenliste!$B$6:$B$40,31)&lt;&gt;0,"ab Punkten:","")</f>
        <v/>
      </c>
      <c r="C523" s="88">
        <f>IF(AND(INDEX(Klassenliste!$B$6:$B$40,31)&lt;&gt;0,RB_Daten!$A$4&lt;&gt;""),CEILING(Notentabelle!$C$17*RB_Daten!$A$4,0.5),"")</f>
        <v/>
      </c>
      <c r="D523" s="88">
        <f>IF(AND(INDEX(Klassenliste!$B$6:$B$40,31)&lt;&gt;0,RB_Daten!$A$4&lt;&gt;""),CEILING(Notentabelle!$C$14*RB_Daten!$A$4,0.5),"")</f>
        <v/>
      </c>
      <c r="E523" s="88">
        <f>IF(AND(INDEX(Klassenliste!$B$6:$B$40,31)&lt;&gt;0,RB_Daten!$A$4&lt;&gt;""),CEILING(Notentabelle!$C$11*RB_Daten!$A$4,0.5),"")</f>
        <v/>
      </c>
      <c r="F523" s="88">
        <f>IF(AND(INDEX(Klassenliste!$B$6:$B$40,31)&lt;&gt;0,RB_Daten!$A$4&lt;&gt;""),CEILING(Notentabelle!$C$8*RB_Daten!$A$4,0.5),"")</f>
        <v/>
      </c>
      <c r="G523" s="88">
        <f>IF(AND(INDEX(Klassenliste!$B$6:$B$40,31)&lt;&gt;0,RB_Daten!$A$4&lt;&gt;""),CEILING(Notentabelle!$C$5*RB_Daten!$A$4,0.5),"")</f>
        <v/>
      </c>
      <c r="H523" s="88">
        <f>IF(AND(INDEX(Klassenliste!$B$6:$B$40,31)&lt;&gt;0,RB_Daten!$A$4&lt;&gt;""),CEILING(0*RB_Daten!$A$4,0.5),"")</f>
        <v/>
      </c>
      <c r="O523" s="74" t="n"/>
    </row>
    <row r="524" ht="14" customHeight="1">
      <c r="B524" s="76" t="n"/>
      <c r="O524" s="74" t="n"/>
    </row>
    <row r="525" ht="110" customHeight="1">
      <c r="B525" s="89">
        <f>IF(INDEX(Klassenliste!$B$6:$B$40,31)&lt;&gt;0,"Lob / Hinweis:","")</f>
        <v/>
      </c>
      <c r="C525" s="90">
        <f>IF(INDEX(Klassenliste!$B$6:$B$40,31)&lt;&gt;0,RB_Daten!$R$35,"")</f>
        <v/>
      </c>
      <c r="D525" s="91" t="n"/>
      <c r="E525" s="91" t="n"/>
      <c r="F525" s="91" t="n"/>
      <c r="G525" s="91" t="n"/>
      <c r="H525" s="91" t="n"/>
      <c r="I525" s="91" t="n"/>
      <c r="J525" s="91" t="n"/>
      <c r="K525" s="91" t="n"/>
      <c r="L525" s="91" t="n"/>
      <c r="M525" s="91" t="n"/>
      <c r="N525" s="91" t="n"/>
      <c r="O525" s="74" t="n"/>
    </row>
    <row r="526" ht="22" customHeight="1">
      <c r="B526" s="87">
        <f>IF(INDEX(Klassenliste!$B$6:$B$40,31)&lt;&gt;0,"Unterschrift Erziehungsberechtigte/r:","")</f>
        <v/>
      </c>
      <c r="F526" s="92" t="n"/>
      <c r="G526" s="92" t="n"/>
      <c r="H526" s="92" t="n"/>
      <c r="I526" s="92" t="n"/>
      <c r="O526" s="74" t="n"/>
    </row>
    <row r="527" ht="8" customHeight="1">
      <c r="B527" s="93" t="n"/>
      <c r="C527" s="94" t="n"/>
      <c r="D527" s="94" t="n"/>
      <c r="E527" s="94" t="n"/>
      <c r="F527" s="94" t="n"/>
      <c r="G527" s="94" t="n"/>
      <c r="H527" s="94" t="n"/>
      <c r="I527" s="94" t="n"/>
      <c r="J527" s="94" t="n"/>
      <c r="K527" s="94" t="n"/>
      <c r="L527" s="94" t="n"/>
      <c r="M527" s="94" t="n"/>
      <c r="N527" s="94" t="n"/>
      <c r="O527" s="95" t="n"/>
    </row>
    <row r="528" ht="27.5" customHeight="1"/>
    <row r="529" ht="27.5" customHeight="1"/>
    <row r="530" ht="6" customHeight="1">
      <c r="B530" s="70" t="n"/>
      <c r="C530" s="71" t="n"/>
      <c r="D530" s="71" t="n"/>
      <c r="E530" s="71" t="n"/>
      <c r="F530" s="71" t="n"/>
      <c r="G530" s="71" t="n"/>
      <c r="H530" s="71" t="n"/>
      <c r="I530" s="71" t="n"/>
      <c r="J530" s="71" t="n"/>
      <c r="K530" s="71" t="n"/>
      <c r="L530" s="71" t="n"/>
      <c r="M530" s="71" t="n"/>
      <c r="N530" s="71" t="n"/>
      <c r="O530" s="72" t="n"/>
    </row>
    <row r="531" ht="20" customHeight="1">
      <c r="B531" s="73">
        <f>IF(INDEX(Klassenliste!$B$6:$B$40,32)&lt;&gt;0,"Klausur "&amp;$C$2&amp;" · "&amp;Klassenliste!$E$2&amp;" · "&amp;Klassenliste!$J$2&amp;IF(RB_Daten!$A$3="",""," · "&amp;RB_Daten!$A$3),"")</f>
        <v/>
      </c>
      <c r="J531" s="12">
        <f>IF(INDEX(Klassenliste!$B$6:$B$40,32)&lt;&gt;0,IF(RB_Daten!$A$2="","Datum: ______","Datum: "&amp;IFERROR(TEXT(RB_Daten!$A$2,"TT.MM.JJJJ"),RB_Daten!$A$2)),"")</f>
        <v/>
      </c>
      <c r="O531" s="74" t="n"/>
    </row>
    <row r="532" ht="20" customHeight="1">
      <c r="B532" s="75">
        <f>IF(INDEX(Klassenliste!$B$6:$B$40,32)&lt;&gt;0,"Name: "&amp;INDEX(Klassenliste!$C$6:$C$40,32)&amp;" "&amp;INDEX(Klassenliste!$B$6:$B$40,32),"")</f>
        <v/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74" t="n"/>
    </row>
    <row r="533" ht="8" customHeight="1">
      <c r="B533" s="76" t="n"/>
      <c r="O533" s="74" t="n"/>
    </row>
    <row r="534" ht="18" customHeight="1">
      <c r="B534" s="77">
        <f>IF(INDEX(Klassenliste!$B$6:$B$40,32)&lt;&gt;0,"Aufgabe","")</f>
        <v/>
      </c>
      <c r="C534" s="78">
        <f>IF(AND(INDEX(Klassenliste!$B$6:$B$40,32)&lt;&gt;0,NOT(OR(RB_Daten!B$3="",RB_Daten!B$3=0))),RB_Daten!B$2,"")</f>
        <v/>
      </c>
      <c r="D534" s="78">
        <f>IF(AND(INDEX(Klassenliste!$B$6:$B$40,32)&lt;&gt;0,NOT(OR(RB_Daten!C$3="",RB_Daten!C$3=0))),RB_Daten!C$2,"")</f>
        <v/>
      </c>
      <c r="E534" s="78">
        <f>IF(AND(INDEX(Klassenliste!$B$6:$B$40,32)&lt;&gt;0,NOT(OR(RB_Daten!D$3="",RB_Daten!D$3=0))),RB_Daten!D$2,"")</f>
        <v/>
      </c>
      <c r="F534" s="78">
        <f>IF(AND(INDEX(Klassenliste!$B$6:$B$40,32)&lt;&gt;0,NOT(OR(RB_Daten!E$3="",RB_Daten!E$3=0))),RB_Daten!E$2,"")</f>
        <v/>
      </c>
      <c r="G534" s="78">
        <f>IF(AND(INDEX(Klassenliste!$B$6:$B$40,32)&lt;&gt;0,NOT(OR(RB_Daten!F$3="",RB_Daten!F$3=0))),RB_Daten!F$2,"")</f>
        <v/>
      </c>
      <c r="H534" s="78">
        <f>IF(AND(INDEX(Klassenliste!$B$6:$B$40,32)&lt;&gt;0,NOT(OR(RB_Daten!G$3="",RB_Daten!G$3=0))),RB_Daten!G$2,"")</f>
        <v/>
      </c>
      <c r="I534" s="78">
        <f>IF(AND(INDEX(Klassenliste!$B$6:$B$40,32)&lt;&gt;0,NOT(OR(RB_Daten!H$3="",RB_Daten!H$3=0))),RB_Daten!H$2,"")</f>
        <v/>
      </c>
      <c r="J534" s="78">
        <f>IF(AND(INDEX(Klassenliste!$B$6:$B$40,32)&lt;&gt;0,NOT(OR(RB_Daten!I$3="",RB_Daten!I$3=0))),RB_Daten!I$2,"")</f>
        <v/>
      </c>
      <c r="K534" s="78">
        <f>IF(AND(INDEX(Klassenliste!$B$6:$B$40,32)&lt;&gt;0,NOT(OR(RB_Daten!J$3="",RB_Daten!J$3=0))),RB_Daten!J$2,"")</f>
        <v/>
      </c>
      <c r="L534" s="78">
        <f>IF(AND(INDEX(Klassenliste!$B$6:$B$40,32)&lt;&gt;0,NOT(OR(RB_Daten!K$3="",RB_Daten!K$3=0))),RB_Daten!K$2,"")</f>
        <v/>
      </c>
      <c r="M534" s="78">
        <f>IF(AND(INDEX(Klassenliste!$B$6:$B$40,32)&lt;&gt;0,NOT(OR(RB_Daten!L$3="",RB_Daten!L$3=0))),RB_Daten!L$2,"")</f>
        <v/>
      </c>
      <c r="N534" s="78">
        <f>IF(AND(INDEX(Klassenliste!$B$6:$B$40,32)&lt;&gt;0,NOT(OR(RB_Daten!M$3="",RB_Daten!M$3=0))),RB_Daten!M$2,"")</f>
        <v/>
      </c>
      <c r="O534" s="79">
        <f>IF(INDEX(Klassenliste!$B$6:$B$40,32)&lt;&gt;0,"Gesamt","")</f>
        <v/>
      </c>
    </row>
    <row r="535" ht="18" customHeight="1">
      <c r="B535" s="80">
        <f>IF(INDEX(Klassenliste!$B$6:$B$40,32)&lt;&gt;0,"max. Punkte","")</f>
        <v/>
      </c>
      <c r="C535" s="81">
        <f>IF(AND(INDEX(Klassenliste!$B$6:$B$40,32)&lt;&gt;0,NOT(OR(RB_Daten!B$3="",RB_Daten!B$3=0))),RB_Daten!B$3,"")</f>
        <v/>
      </c>
      <c r="D535" s="81">
        <f>IF(AND(INDEX(Klassenliste!$B$6:$B$40,32)&lt;&gt;0,NOT(OR(RB_Daten!C$3="",RB_Daten!C$3=0))),RB_Daten!C$3,"")</f>
        <v/>
      </c>
      <c r="E535" s="81">
        <f>IF(AND(INDEX(Klassenliste!$B$6:$B$40,32)&lt;&gt;0,NOT(OR(RB_Daten!D$3="",RB_Daten!D$3=0))),RB_Daten!D$3,"")</f>
        <v/>
      </c>
      <c r="F535" s="81">
        <f>IF(AND(INDEX(Klassenliste!$B$6:$B$40,32)&lt;&gt;0,NOT(OR(RB_Daten!E$3="",RB_Daten!E$3=0))),RB_Daten!E$3,"")</f>
        <v/>
      </c>
      <c r="G535" s="81">
        <f>IF(AND(INDEX(Klassenliste!$B$6:$B$40,32)&lt;&gt;0,NOT(OR(RB_Daten!F$3="",RB_Daten!F$3=0))),RB_Daten!F$3,"")</f>
        <v/>
      </c>
      <c r="H535" s="81">
        <f>IF(AND(INDEX(Klassenliste!$B$6:$B$40,32)&lt;&gt;0,NOT(OR(RB_Daten!G$3="",RB_Daten!G$3=0))),RB_Daten!G$3,"")</f>
        <v/>
      </c>
      <c r="I535" s="81">
        <f>IF(AND(INDEX(Klassenliste!$B$6:$B$40,32)&lt;&gt;0,NOT(OR(RB_Daten!H$3="",RB_Daten!H$3=0))),RB_Daten!H$3,"")</f>
        <v/>
      </c>
      <c r="J535" s="81">
        <f>IF(AND(INDEX(Klassenliste!$B$6:$B$40,32)&lt;&gt;0,NOT(OR(RB_Daten!I$3="",RB_Daten!I$3=0))),RB_Daten!I$3,"")</f>
        <v/>
      </c>
      <c r="K535" s="81">
        <f>IF(AND(INDEX(Klassenliste!$B$6:$B$40,32)&lt;&gt;0,NOT(OR(RB_Daten!J$3="",RB_Daten!J$3=0))),RB_Daten!J$3,"")</f>
        <v/>
      </c>
      <c r="L535" s="81">
        <f>IF(AND(INDEX(Klassenliste!$B$6:$B$40,32)&lt;&gt;0,NOT(OR(RB_Daten!K$3="",RB_Daten!K$3=0))),RB_Daten!K$3,"")</f>
        <v/>
      </c>
      <c r="M535" s="81">
        <f>IF(AND(INDEX(Klassenliste!$B$6:$B$40,32)&lt;&gt;0,NOT(OR(RB_Daten!L$3="",RB_Daten!L$3=0))),RB_Daten!L$3,"")</f>
        <v/>
      </c>
      <c r="N535" s="81">
        <f>IF(AND(INDEX(Klassenliste!$B$6:$B$40,32)&lt;&gt;0,NOT(OR(RB_Daten!M$3="",RB_Daten!M$3=0))),RB_Daten!M$3,"")</f>
        <v/>
      </c>
      <c r="O535" s="82">
        <f>IF(INDEX(Klassenliste!$B$6:$B$40,32)&lt;&gt;0,IF(RB_Daten!$A$4="","",RB_Daten!$A$4),"")</f>
        <v/>
      </c>
    </row>
    <row r="536" ht="18" customHeight="1">
      <c r="B536" s="83">
        <f>IF(INDEX(Klassenliste!$B$6:$B$40,32)&lt;&gt;0,"erreicht","")</f>
        <v/>
      </c>
      <c r="C536" s="84">
        <f>IF(AND(INDEX(Klassenliste!$B$6:$B$40,32)&lt;&gt;0,NOT(OR(RB_Daten!B$3="",RB_Daten!B$3=0))),IF(RB_Daten!B$36="","",RB_Daten!B$36),"")</f>
        <v/>
      </c>
      <c r="D536" s="84">
        <f>IF(AND(INDEX(Klassenliste!$B$6:$B$40,32)&lt;&gt;0,NOT(OR(RB_Daten!C$3="",RB_Daten!C$3=0))),IF(RB_Daten!C$36="","",RB_Daten!C$36),"")</f>
        <v/>
      </c>
      <c r="E536" s="84">
        <f>IF(AND(INDEX(Klassenliste!$B$6:$B$40,32)&lt;&gt;0,NOT(OR(RB_Daten!D$3="",RB_Daten!D$3=0))),IF(RB_Daten!D$36="","",RB_Daten!D$36),"")</f>
        <v/>
      </c>
      <c r="F536" s="84">
        <f>IF(AND(INDEX(Klassenliste!$B$6:$B$40,32)&lt;&gt;0,NOT(OR(RB_Daten!E$3="",RB_Daten!E$3=0))),IF(RB_Daten!E$36="","",RB_Daten!E$36),"")</f>
        <v/>
      </c>
      <c r="G536" s="84">
        <f>IF(AND(INDEX(Klassenliste!$B$6:$B$40,32)&lt;&gt;0,NOT(OR(RB_Daten!F$3="",RB_Daten!F$3=0))),IF(RB_Daten!F$36="","",RB_Daten!F$36),"")</f>
        <v/>
      </c>
      <c r="H536" s="84">
        <f>IF(AND(INDEX(Klassenliste!$B$6:$B$40,32)&lt;&gt;0,NOT(OR(RB_Daten!G$3="",RB_Daten!G$3=0))),IF(RB_Daten!G$36="","",RB_Daten!G$36),"")</f>
        <v/>
      </c>
      <c r="I536" s="84">
        <f>IF(AND(INDEX(Klassenliste!$B$6:$B$40,32)&lt;&gt;0,NOT(OR(RB_Daten!H$3="",RB_Daten!H$3=0))),IF(RB_Daten!H$36="","",RB_Daten!H$36),"")</f>
        <v/>
      </c>
      <c r="J536" s="84">
        <f>IF(AND(INDEX(Klassenliste!$B$6:$B$40,32)&lt;&gt;0,NOT(OR(RB_Daten!I$3="",RB_Daten!I$3=0))),IF(RB_Daten!I$36="","",RB_Daten!I$36),"")</f>
        <v/>
      </c>
      <c r="K536" s="84">
        <f>IF(AND(INDEX(Klassenliste!$B$6:$B$40,32)&lt;&gt;0,NOT(OR(RB_Daten!J$3="",RB_Daten!J$3=0))),IF(RB_Daten!J$36="","",RB_Daten!J$36),"")</f>
        <v/>
      </c>
      <c r="L536" s="84">
        <f>IF(AND(INDEX(Klassenliste!$B$6:$B$40,32)&lt;&gt;0,NOT(OR(RB_Daten!K$3="",RB_Daten!K$3=0))),IF(RB_Daten!K$36="","",RB_Daten!K$36),"")</f>
        <v/>
      </c>
      <c r="M536" s="84">
        <f>IF(AND(INDEX(Klassenliste!$B$6:$B$40,32)&lt;&gt;0,NOT(OR(RB_Daten!L$3="",RB_Daten!L$3=0))),IF(RB_Daten!L$36="","",RB_Daten!L$36),"")</f>
        <v/>
      </c>
      <c r="N536" s="84">
        <f>IF(AND(INDEX(Klassenliste!$B$6:$B$40,32)&lt;&gt;0,NOT(OR(RB_Daten!M$3="",RB_Daten!M$3=0))),IF(RB_Daten!M$36="","",RB_Daten!M$36),"")</f>
        <v/>
      </c>
      <c r="O536" s="85">
        <f>IF(INDEX(Klassenliste!$B$6:$B$40,32)&lt;&gt;0,IF(RB_Daten!$N36="","",RB_Daten!$N36),"")</f>
        <v/>
      </c>
    </row>
    <row r="537" ht="10" customHeight="1">
      <c r="B537" s="76" t="n"/>
      <c r="O537" s="74" t="n"/>
    </row>
    <row r="538" ht="24" customHeight="1">
      <c r="B538" s="73">
        <f>IF(INDEX(Klassenliste!$B$6:$B$40,32)&lt;&gt;0,IF(RB_Daten!$O36="","Ergebnis: –","Ergebnis: "&amp;ROUND(RB_Daten!$O36*100,1)&amp;" %"),"")</f>
        <v/>
      </c>
      <c r="F538" s="86">
        <f>IF(INDEX(Klassenliste!$B$6:$B$40,32)&lt;&gt;0,IF(RB_Daten!$P36="","Punkte: –","Punkte: "&amp;RB_Daten!$P36&amp;"  ("&amp;RB_Daten!$Q36&amp;")"),"")</f>
        <v/>
      </c>
      <c r="O538" s="74" t="n"/>
    </row>
    <row r="539" ht="16" customHeight="1">
      <c r="B539" s="87">
        <f>IF(INDEX(Klassenliste!$B$6:$B$40,32)&lt;&gt;0,"Notenschlüssel:","")</f>
        <v/>
      </c>
      <c r="C539" s="46">
        <f>IF(INDEX(Klassenliste!$B$6:$B$40,32)&lt;&gt;0,"Note 1","")</f>
        <v/>
      </c>
      <c r="D539" s="46">
        <f>IF(INDEX(Klassenliste!$B$6:$B$40,32)&lt;&gt;0,"Note 2","")</f>
        <v/>
      </c>
      <c r="E539" s="46">
        <f>IF(INDEX(Klassenliste!$B$6:$B$40,32)&lt;&gt;0,"Note 3","")</f>
        <v/>
      </c>
      <c r="F539" s="46">
        <f>IF(INDEX(Klassenliste!$B$6:$B$40,32)&lt;&gt;0,"Note 4","")</f>
        <v/>
      </c>
      <c r="G539" s="46">
        <f>IF(INDEX(Klassenliste!$B$6:$B$40,32)&lt;&gt;0,"Note 5","")</f>
        <v/>
      </c>
      <c r="H539" s="46">
        <f>IF(INDEX(Klassenliste!$B$6:$B$40,32)&lt;&gt;0,"Note 6","")</f>
        <v/>
      </c>
      <c r="O539" s="74" t="n"/>
    </row>
    <row r="540" ht="16" customHeight="1">
      <c r="B540" s="87">
        <f>IF(INDEX(Klassenliste!$B$6:$B$40,32)&lt;&gt;0,"ab Punkten:","")</f>
        <v/>
      </c>
      <c r="C540" s="88">
        <f>IF(AND(INDEX(Klassenliste!$B$6:$B$40,32)&lt;&gt;0,RB_Daten!$A$4&lt;&gt;""),CEILING(Notentabelle!$C$17*RB_Daten!$A$4,0.5),"")</f>
        <v/>
      </c>
      <c r="D540" s="88">
        <f>IF(AND(INDEX(Klassenliste!$B$6:$B$40,32)&lt;&gt;0,RB_Daten!$A$4&lt;&gt;""),CEILING(Notentabelle!$C$14*RB_Daten!$A$4,0.5),"")</f>
        <v/>
      </c>
      <c r="E540" s="88">
        <f>IF(AND(INDEX(Klassenliste!$B$6:$B$40,32)&lt;&gt;0,RB_Daten!$A$4&lt;&gt;""),CEILING(Notentabelle!$C$11*RB_Daten!$A$4,0.5),"")</f>
        <v/>
      </c>
      <c r="F540" s="88">
        <f>IF(AND(INDEX(Klassenliste!$B$6:$B$40,32)&lt;&gt;0,RB_Daten!$A$4&lt;&gt;""),CEILING(Notentabelle!$C$8*RB_Daten!$A$4,0.5),"")</f>
        <v/>
      </c>
      <c r="G540" s="88">
        <f>IF(AND(INDEX(Klassenliste!$B$6:$B$40,32)&lt;&gt;0,RB_Daten!$A$4&lt;&gt;""),CEILING(Notentabelle!$C$5*RB_Daten!$A$4,0.5),"")</f>
        <v/>
      </c>
      <c r="H540" s="88">
        <f>IF(AND(INDEX(Klassenliste!$B$6:$B$40,32)&lt;&gt;0,RB_Daten!$A$4&lt;&gt;""),CEILING(0*RB_Daten!$A$4,0.5),"")</f>
        <v/>
      </c>
      <c r="O540" s="74" t="n"/>
    </row>
    <row r="541" ht="14" customHeight="1">
      <c r="B541" s="76" t="n"/>
      <c r="O541" s="74" t="n"/>
    </row>
    <row r="542" ht="110" customHeight="1">
      <c r="B542" s="89">
        <f>IF(INDEX(Klassenliste!$B$6:$B$40,32)&lt;&gt;0,"Lob / Hinweis:","")</f>
        <v/>
      </c>
      <c r="C542" s="90">
        <f>IF(INDEX(Klassenliste!$B$6:$B$40,32)&lt;&gt;0,RB_Daten!$R$36,"")</f>
        <v/>
      </c>
      <c r="D542" s="91" t="n"/>
      <c r="E542" s="91" t="n"/>
      <c r="F542" s="91" t="n"/>
      <c r="G542" s="91" t="n"/>
      <c r="H542" s="91" t="n"/>
      <c r="I542" s="91" t="n"/>
      <c r="J542" s="91" t="n"/>
      <c r="K542" s="91" t="n"/>
      <c r="L542" s="91" t="n"/>
      <c r="M542" s="91" t="n"/>
      <c r="N542" s="91" t="n"/>
      <c r="O542" s="74" t="n"/>
    </row>
    <row r="543" ht="22" customHeight="1">
      <c r="B543" s="87">
        <f>IF(INDEX(Klassenliste!$B$6:$B$40,32)&lt;&gt;0,"Unterschrift Erziehungsberechtigte/r:","")</f>
        <v/>
      </c>
      <c r="F543" s="92" t="n"/>
      <c r="G543" s="92" t="n"/>
      <c r="H543" s="92" t="n"/>
      <c r="I543" s="92" t="n"/>
      <c r="O543" s="74" t="n"/>
    </row>
    <row r="544" ht="8" customHeight="1">
      <c r="B544" s="93" t="n"/>
      <c r="C544" s="94" t="n"/>
      <c r="D544" s="94" t="n"/>
      <c r="E544" s="94" t="n"/>
      <c r="F544" s="94" t="n"/>
      <c r="G544" s="94" t="n"/>
      <c r="H544" s="94" t="n"/>
      <c r="I544" s="94" t="n"/>
      <c r="J544" s="94" t="n"/>
      <c r="K544" s="94" t="n"/>
      <c r="L544" s="94" t="n"/>
      <c r="M544" s="94" t="n"/>
      <c r="N544" s="94" t="n"/>
      <c r="O544" s="95" t="n"/>
    </row>
    <row r="545" ht="27.5" customHeight="1"/>
    <row r="546" ht="27.5" customHeight="1"/>
    <row r="547" ht="6" customHeight="1">
      <c r="B547" s="70" t="n"/>
      <c r="C547" s="71" t="n"/>
      <c r="D547" s="71" t="n"/>
      <c r="E547" s="71" t="n"/>
      <c r="F547" s="71" t="n"/>
      <c r="G547" s="71" t="n"/>
      <c r="H547" s="71" t="n"/>
      <c r="I547" s="71" t="n"/>
      <c r="J547" s="71" t="n"/>
      <c r="K547" s="71" t="n"/>
      <c r="L547" s="71" t="n"/>
      <c r="M547" s="71" t="n"/>
      <c r="N547" s="71" t="n"/>
      <c r="O547" s="72" t="n"/>
    </row>
    <row r="548" ht="20" customHeight="1">
      <c r="B548" s="73">
        <f>IF(INDEX(Klassenliste!$B$6:$B$40,33)&lt;&gt;0,"Klausur "&amp;$C$2&amp;" · "&amp;Klassenliste!$E$2&amp;" · "&amp;Klassenliste!$J$2&amp;IF(RB_Daten!$A$3="",""," · "&amp;RB_Daten!$A$3),"")</f>
        <v/>
      </c>
      <c r="J548" s="12">
        <f>IF(INDEX(Klassenliste!$B$6:$B$40,33)&lt;&gt;0,IF(RB_Daten!$A$2="","Datum: ______","Datum: "&amp;IFERROR(TEXT(RB_Daten!$A$2,"TT.MM.JJJJ"),RB_Daten!$A$2)),"")</f>
        <v/>
      </c>
      <c r="O548" s="74" t="n"/>
    </row>
    <row r="549" ht="20" customHeight="1">
      <c r="B549" s="75">
        <f>IF(INDEX(Klassenliste!$B$6:$B$40,33)&lt;&gt;0,"Name: "&amp;INDEX(Klassenliste!$C$6:$C$40,33)&amp;" "&amp;INDEX(Klassenliste!$B$6:$B$40,33),"")</f>
        <v/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74" t="n"/>
    </row>
    <row r="550" ht="8" customHeight="1">
      <c r="B550" s="76" t="n"/>
      <c r="O550" s="74" t="n"/>
    </row>
    <row r="551" ht="18" customHeight="1">
      <c r="B551" s="77">
        <f>IF(INDEX(Klassenliste!$B$6:$B$40,33)&lt;&gt;0,"Aufgabe","")</f>
        <v/>
      </c>
      <c r="C551" s="78">
        <f>IF(AND(INDEX(Klassenliste!$B$6:$B$40,33)&lt;&gt;0,NOT(OR(RB_Daten!B$3="",RB_Daten!B$3=0))),RB_Daten!B$2,"")</f>
        <v/>
      </c>
      <c r="D551" s="78">
        <f>IF(AND(INDEX(Klassenliste!$B$6:$B$40,33)&lt;&gt;0,NOT(OR(RB_Daten!C$3="",RB_Daten!C$3=0))),RB_Daten!C$2,"")</f>
        <v/>
      </c>
      <c r="E551" s="78">
        <f>IF(AND(INDEX(Klassenliste!$B$6:$B$40,33)&lt;&gt;0,NOT(OR(RB_Daten!D$3="",RB_Daten!D$3=0))),RB_Daten!D$2,"")</f>
        <v/>
      </c>
      <c r="F551" s="78">
        <f>IF(AND(INDEX(Klassenliste!$B$6:$B$40,33)&lt;&gt;0,NOT(OR(RB_Daten!E$3="",RB_Daten!E$3=0))),RB_Daten!E$2,"")</f>
        <v/>
      </c>
      <c r="G551" s="78">
        <f>IF(AND(INDEX(Klassenliste!$B$6:$B$40,33)&lt;&gt;0,NOT(OR(RB_Daten!F$3="",RB_Daten!F$3=0))),RB_Daten!F$2,"")</f>
        <v/>
      </c>
      <c r="H551" s="78">
        <f>IF(AND(INDEX(Klassenliste!$B$6:$B$40,33)&lt;&gt;0,NOT(OR(RB_Daten!G$3="",RB_Daten!G$3=0))),RB_Daten!G$2,"")</f>
        <v/>
      </c>
      <c r="I551" s="78">
        <f>IF(AND(INDEX(Klassenliste!$B$6:$B$40,33)&lt;&gt;0,NOT(OR(RB_Daten!H$3="",RB_Daten!H$3=0))),RB_Daten!H$2,"")</f>
        <v/>
      </c>
      <c r="J551" s="78">
        <f>IF(AND(INDEX(Klassenliste!$B$6:$B$40,33)&lt;&gt;0,NOT(OR(RB_Daten!I$3="",RB_Daten!I$3=0))),RB_Daten!I$2,"")</f>
        <v/>
      </c>
      <c r="K551" s="78">
        <f>IF(AND(INDEX(Klassenliste!$B$6:$B$40,33)&lt;&gt;0,NOT(OR(RB_Daten!J$3="",RB_Daten!J$3=0))),RB_Daten!J$2,"")</f>
        <v/>
      </c>
      <c r="L551" s="78">
        <f>IF(AND(INDEX(Klassenliste!$B$6:$B$40,33)&lt;&gt;0,NOT(OR(RB_Daten!K$3="",RB_Daten!K$3=0))),RB_Daten!K$2,"")</f>
        <v/>
      </c>
      <c r="M551" s="78">
        <f>IF(AND(INDEX(Klassenliste!$B$6:$B$40,33)&lt;&gt;0,NOT(OR(RB_Daten!L$3="",RB_Daten!L$3=0))),RB_Daten!L$2,"")</f>
        <v/>
      </c>
      <c r="N551" s="78">
        <f>IF(AND(INDEX(Klassenliste!$B$6:$B$40,33)&lt;&gt;0,NOT(OR(RB_Daten!M$3="",RB_Daten!M$3=0))),RB_Daten!M$2,"")</f>
        <v/>
      </c>
      <c r="O551" s="79">
        <f>IF(INDEX(Klassenliste!$B$6:$B$40,33)&lt;&gt;0,"Gesamt","")</f>
        <v/>
      </c>
    </row>
    <row r="552" ht="18" customHeight="1">
      <c r="B552" s="80">
        <f>IF(INDEX(Klassenliste!$B$6:$B$40,33)&lt;&gt;0,"max. Punkte","")</f>
        <v/>
      </c>
      <c r="C552" s="81">
        <f>IF(AND(INDEX(Klassenliste!$B$6:$B$40,33)&lt;&gt;0,NOT(OR(RB_Daten!B$3="",RB_Daten!B$3=0))),RB_Daten!B$3,"")</f>
        <v/>
      </c>
      <c r="D552" s="81">
        <f>IF(AND(INDEX(Klassenliste!$B$6:$B$40,33)&lt;&gt;0,NOT(OR(RB_Daten!C$3="",RB_Daten!C$3=0))),RB_Daten!C$3,"")</f>
        <v/>
      </c>
      <c r="E552" s="81">
        <f>IF(AND(INDEX(Klassenliste!$B$6:$B$40,33)&lt;&gt;0,NOT(OR(RB_Daten!D$3="",RB_Daten!D$3=0))),RB_Daten!D$3,"")</f>
        <v/>
      </c>
      <c r="F552" s="81">
        <f>IF(AND(INDEX(Klassenliste!$B$6:$B$40,33)&lt;&gt;0,NOT(OR(RB_Daten!E$3="",RB_Daten!E$3=0))),RB_Daten!E$3,"")</f>
        <v/>
      </c>
      <c r="G552" s="81">
        <f>IF(AND(INDEX(Klassenliste!$B$6:$B$40,33)&lt;&gt;0,NOT(OR(RB_Daten!F$3="",RB_Daten!F$3=0))),RB_Daten!F$3,"")</f>
        <v/>
      </c>
      <c r="H552" s="81">
        <f>IF(AND(INDEX(Klassenliste!$B$6:$B$40,33)&lt;&gt;0,NOT(OR(RB_Daten!G$3="",RB_Daten!G$3=0))),RB_Daten!G$3,"")</f>
        <v/>
      </c>
      <c r="I552" s="81">
        <f>IF(AND(INDEX(Klassenliste!$B$6:$B$40,33)&lt;&gt;0,NOT(OR(RB_Daten!H$3="",RB_Daten!H$3=0))),RB_Daten!H$3,"")</f>
        <v/>
      </c>
      <c r="J552" s="81">
        <f>IF(AND(INDEX(Klassenliste!$B$6:$B$40,33)&lt;&gt;0,NOT(OR(RB_Daten!I$3="",RB_Daten!I$3=0))),RB_Daten!I$3,"")</f>
        <v/>
      </c>
      <c r="K552" s="81">
        <f>IF(AND(INDEX(Klassenliste!$B$6:$B$40,33)&lt;&gt;0,NOT(OR(RB_Daten!J$3="",RB_Daten!J$3=0))),RB_Daten!J$3,"")</f>
        <v/>
      </c>
      <c r="L552" s="81">
        <f>IF(AND(INDEX(Klassenliste!$B$6:$B$40,33)&lt;&gt;0,NOT(OR(RB_Daten!K$3="",RB_Daten!K$3=0))),RB_Daten!K$3,"")</f>
        <v/>
      </c>
      <c r="M552" s="81">
        <f>IF(AND(INDEX(Klassenliste!$B$6:$B$40,33)&lt;&gt;0,NOT(OR(RB_Daten!L$3="",RB_Daten!L$3=0))),RB_Daten!L$3,"")</f>
        <v/>
      </c>
      <c r="N552" s="81">
        <f>IF(AND(INDEX(Klassenliste!$B$6:$B$40,33)&lt;&gt;0,NOT(OR(RB_Daten!M$3="",RB_Daten!M$3=0))),RB_Daten!M$3,"")</f>
        <v/>
      </c>
      <c r="O552" s="82">
        <f>IF(INDEX(Klassenliste!$B$6:$B$40,33)&lt;&gt;0,IF(RB_Daten!$A$4="","",RB_Daten!$A$4),"")</f>
        <v/>
      </c>
    </row>
    <row r="553" ht="18" customHeight="1">
      <c r="B553" s="83">
        <f>IF(INDEX(Klassenliste!$B$6:$B$40,33)&lt;&gt;0,"erreicht","")</f>
        <v/>
      </c>
      <c r="C553" s="84">
        <f>IF(AND(INDEX(Klassenliste!$B$6:$B$40,33)&lt;&gt;0,NOT(OR(RB_Daten!B$3="",RB_Daten!B$3=0))),IF(RB_Daten!B$37="","",RB_Daten!B$37),"")</f>
        <v/>
      </c>
      <c r="D553" s="84">
        <f>IF(AND(INDEX(Klassenliste!$B$6:$B$40,33)&lt;&gt;0,NOT(OR(RB_Daten!C$3="",RB_Daten!C$3=0))),IF(RB_Daten!C$37="","",RB_Daten!C$37),"")</f>
        <v/>
      </c>
      <c r="E553" s="84">
        <f>IF(AND(INDEX(Klassenliste!$B$6:$B$40,33)&lt;&gt;0,NOT(OR(RB_Daten!D$3="",RB_Daten!D$3=0))),IF(RB_Daten!D$37="","",RB_Daten!D$37),"")</f>
        <v/>
      </c>
      <c r="F553" s="84">
        <f>IF(AND(INDEX(Klassenliste!$B$6:$B$40,33)&lt;&gt;0,NOT(OR(RB_Daten!E$3="",RB_Daten!E$3=0))),IF(RB_Daten!E$37="","",RB_Daten!E$37),"")</f>
        <v/>
      </c>
      <c r="G553" s="84">
        <f>IF(AND(INDEX(Klassenliste!$B$6:$B$40,33)&lt;&gt;0,NOT(OR(RB_Daten!F$3="",RB_Daten!F$3=0))),IF(RB_Daten!F$37="","",RB_Daten!F$37),"")</f>
        <v/>
      </c>
      <c r="H553" s="84">
        <f>IF(AND(INDEX(Klassenliste!$B$6:$B$40,33)&lt;&gt;0,NOT(OR(RB_Daten!G$3="",RB_Daten!G$3=0))),IF(RB_Daten!G$37="","",RB_Daten!G$37),"")</f>
        <v/>
      </c>
      <c r="I553" s="84">
        <f>IF(AND(INDEX(Klassenliste!$B$6:$B$40,33)&lt;&gt;0,NOT(OR(RB_Daten!H$3="",RB_Daten!H$3=0))),IF(RB_Daten!H$37="","",RB_Daten!H$37),"")</f>
        <v/>
      </c>
      <c r="J553" s="84">
        <f>IF(AND(INDEX(Klassenliste!$B$6:$B$40,33)&lt;&gt;0,NOT(OR(RB_Daten!I$3="",RB_Daten!I$3=0))),IF(RB_Daten!I$37="","",RB_Daten!I$37),"")</f>
        <v/>
      </c>
      <c r="K553" s="84">
        <f>IF(AND(INDEX(Klassenliste!$B$6:$B$40,33)&lt;&gt;0,NOT(OR(RB_Daten!J$3="",RB_Daten!J$3=0))),IF(RB_Daten!J$37="","",RB_Daten!J$37),"")</f>
        <v/>
      </c>
      <c r="L553" s="84">
        <f>IF(AND(INDEX(Klassenliste!$B$6:$B$40,33)&lt;&gt;0,NOT(OR(RB_Daten!K$3="",RB_Daten!K$3=0))),IF(RB_Daten!K$37="","",RB_Daten!K$37),"")</f>
        <v/>
      </c>
      <c r="M553" s="84">
        <f>IF(AND(INDEX(Klassenliste!$B$6:$B$40,33)&lt;&gt;0,NOT(OR(RB_Daten!L$3="",RB_Daten!L$3=0))),IF(RB_Daten!L$37="","",RB_Daten!L$37),"")</f>
        <v/>
      </c>
      <c r="N553" s="84">
        <f>IF(AND(INDEX(Klassenliste!$B$6:$B$40,33)&lt;&gt;0,NOT(OR(RB_Daten!M$3="",RB_Daten!M$3=0))),IF(RB_Daten!M$37="","",RB_Daten!M$37),"")</f>
        <v/>
      </c>
      <c r="O553" s="85">
        <f>IF(INDEX(Klassenliste!$B$6:$B$40,33)&lt;&gt;0,IF(RB_Daten!$N37="","",RB_Daten!$N37),"")</f>
        <v/>
      </c>
    </row>
    <row r="554" ht="10" customHeight="1">
      <c r="B554" s="76" t="n"/>
      <c r="O554" s="74" t="n"/>
    </row>
    <row r="555" ht="24" customHeight="1">
      <c r="B555" s="73">
        <f>IF(INDEX(Klassenliste!$B$6:$B$40,33)&lt;&gt;0,IF(RB_Daten!$O37="","Ergebnis: –","Ergebnis: "&amp;ROUND(RB_Daten!$O37*100,1)&amp;" %"),"")</f>
        <v/>
      </c>
      <c r="F555" s="86">
        <f>IF(INDEX(Klassenliste!$B$6:$B$40,33)&lt;&gt;0,IF(RB_Daten!$P37="","Punkte: –","Punkte: "&amp;RB_Daten!$P37&amp;"  ("&amp;RB_Daten!$Q37&amp;")"),"")</f>
        <v/>
      </c>
      <c r="O555" s="74" t="n"/>
    </row>
    <row r="556" ht="16" customHeight="1">
      <c r="B556" s="87">
        <f>IF(INDEX(Klassenliste!$B$6:$B$40,33)&lt;&gt;0,"Notenschlüssel:","")</f>
        <v/>
      </c>
      <c r="C556" s="46">
        <f>IF(INDEX(Klassenliste!$B$6:$B$40,33)&lt;&gt;0,"Note 1","")</f>
        <v/>
      </c>
      <c r="D556" s="46">
        <f>IF(INDEX(Klassenliste!$B$6:$B$40,33)&lt;&gt;0,"Note 2","")</f>
        <v/>
      </c>
      <c r="E556" s="46">
        <f>IF(INDEX(Klassenliste!$B$6:$B$40,33)&lt;&gt;0,"Note 3","")</f>
        <v/>
      </c>
      <c r="F556" s="46">
        <f>IF(INDEX(Klassenliste!$B$6:$B$40,33)&lt;&gt;0,"Note 4","")</f>
        <v/>
      </c>
      <c r="G556" s="46">
        <f>IF(INDEX(Klassenliste!$B$6:$B$40,33)&lt;&gt;0,"Note 5","")</f>
        <v/>
      </c>
      <c r="H556" s="46">
        <f>IF(INDEX(Klassenliste!$B$6:$B$40,33)&lt;&gt;0,"Note 6","")</f>
        <v/>
      </c>
      <c r="O556" s="74" t="n"/>
    </row>
    <row r="557" ht="16" customHeight="1">
      <c r="B557" s="87">
        <f>IF(INDEX(Klassenliste!$B$6:$B$40,33)&lt;&gt;0,"ab Punkten:","")</f>
        <v/>
      </c>
      <c r="C557" s="88">
        <f>IF(AND(INDEX(Klassenliste!$B$6:$B$40,33)&lt;&gt;0,RB_Daten!$A$4&lt;&gt;""),CEILING(Notentabelle!$C$17*RB_Daten!$A$4,0.5),"")</f>
        <v/>
      </c>
      <c r="D557" s="88">
        <f>IF(AND(INDEX(Klassenliste!$B$6:$B$40,33)&lt;&gt;0,RB_Daten!$A$4&lt;&gt;""),CEILING(Notentabelle!$C$14*RB_Daten!$A$4,0.5),"")</f>
        <v/>
      </c>
      <c r="E557" s="88">
        <f>IF(AND(INDEX(Klassenliste!$B$6:$B$40,33)&lt;&gt;0,RB_Daten!$A$4&lt;&gt;""),CEILING(Notentabelle!$C$11*RB_Daten!$A$4,0.5),"")</f>
        <v/>
      </c>
      <c r="F557" s="88">
        <f>IF(AND(INDEX(Klassenliste!$B$6:$B$40,33)&lt;&gt;0,RB_Daten!$A$4&lt;&gt;""),CEILING(Notentabelle!$C$8*RB_Daten!$A$4,0.5),"")</f>
        <v/>
      </c>
      <c r="G557" s="88">
        <f>IF(AND(INDEX(Klassenliste!$B$6:$B$40,33)&lt;&gt;0,RB_Daten!$A$4&lt;&gt;""),CEILING(Notentabelle!$C$5*RB_Daten!$A$4,0.5),"")</f>
        <v/>
      </c>
      <c r="H557" s="88">
        <f>IF(AND(INDEX(Klassenliste!$B$6:$B$40,33)&lt;&gt;0,RB_Daten!$A$4&lt;&gt;""),CEILING(0*RB_Daten!$A$4,0.5),"")</f>
        <v/>
      </c>
      <c r="O557" s="74" t="n"/>
    </row>
    <row r="558" ht="14" customHeight="1">
      <c r="B558" s="76" t="n"/>
      <c r="O558" s="74" t="n"/>
    </row>
    <row r="559" ht="110" customHeight="1">
      <c r="B559" s="89">
        <f>IF(INDEX(Klassenliste!$B$6:$B$40,33)&lt;&gt;0,"Lob / Hinweis:","")</f>
        <v/>
      </c>
      <c r="C559" s="90">
        <f>IF(INDEX(Klassenliste!$B$6:$B$40,33)&lt;&gt;0,RB_Daten!$R$37,"")</f>
        <v/>
      </c>
      <c r="D559" s="91" t="n"/>
      <c r="E559" s="91" t="n"/>
      <c r="F559" s="91" t="n"/>
      <c r="G559" s="91" t="n"/>
      <c r="H559" s="91" t="n"/>
      <c r="I559" s="91" t="n"/>
      <c r="J559" s="91" t="n"/>
      <c r="K559" s="91" t="n"/>
      <c r="L559" s="91" t="n"/>
      <c r="M559" s="91" t="n"/>
      <c r="N559" s="91" t="n"/>
      <c r="O559" s="74" t="n"/>
    </row>
    <row r="560" ht="22" customHeight="1">
      <c r="B560" s="87">
        <f>IF(INDEX(Klassenliste!$B$6:$B$40,33)&lt;&gt;0,"Unterschrift Erziehungsberechtigte/r:","")</f>
        <v/>
      </c>
      <c r="F560" s="92" t="n"/>
      <c r="G560" s="92" t="n"/>
      <c r="H560" s="92" t="n"/>
      <c r="I560" s="92" t="n"/>
      <c r="O560" s="74" t="n"/>
    </row>
    <row r="561" ht="8" customHeight="1">
      <c r="B561" s="93" t="n"/>
      <c r="C561" s="94" t="n"/>
      <c r="D561" s="94" t="n"/>
      <c r="E561" s="94" t="n"/>
      <c r="F561" s="94" t="n"/>
      <c r="G561" s="94" t="n"/>
      <c r="H561" s="94" t="n"/>
      <c r="I561" s="94" t="n"/>
      <c r="J561" s="94" t="n"/>
      <c r="K561" s="94" t="n"/>
      <c r="L561" s="94" t="n"/>
      <c r="M561" s="94" t="n"/>
      <c r="N561" s="94" t="n"/>
      <c r="O561" s="95" t="n"/>
    </row>
    <row r="562" ht="27.5" customHeight="1"/>
    <row r="563" ht="27.5" customHeight="1"/>
    <row r="564" ht="6" customHeight="1">
      <c r="B564" s="70" t="n"/>
      <c r="C564" s="71" t="n"/>
      <c r="D564" s="71" t="n"/>
      <c r="E564" s="71" t="n"/>
      <c r="F564" s="71" t="n"/>
      <c r="G564" s="71" t="n"/>
      <c r="H564" s="71" t="n"/>
      <c r="I564" s="71" t="n"/>
      <c r="J564" s="71" t="n"/>
      <c r="K564" s="71" t="n"/>
      <c r="L564" s="71" t="n"/>
      <c r="M564" s="71" t="n"/>
      <c r="N564" s="71" t="n"/>
      <c r="O564" s="72" t="n"/>
    </row>
    <row r="565" ht="20" customHeight="1">
      <c r="B565" s="73">
        <f>IF(INDEX(Klassenliste!$B$6:$B$40,34)&lt;&gt;0,"Klausur "&amp;$C$2&amp;" · "&amp;Klassenliste!$E$2&amp;" · "&amp;Klassenliste!$J$2&amp;IF(RB_Daten!$A$3="",""," · "&amp;RB_Daten!$A$3),"")</f>
        <v/>
      </c>
      <c r="J565" s="12">
        <f>IF(INDEX(Klassenliste!$B$6:$B$40,34)&lt;&gt;0,IF(RB_Daten!$A$2="","Datum: ______","Datum: "&amp;IFERROR(TEXT(RB_Daten!$A$2,"TT.MM.JJJJ"),RB_Daten!$A$2)),"")</f>
        <v/>
      </c>
      <c r="O565" s="74" t="n"/>
    </row>
    <row r="566" ht="20" customHeight="1">
      <c r="B566" s="75">
        <f>IF(INDEX(Klassenliste!$B$6:$B$40,34)&lt;&gt;0,"Name: "&amp;INDEX(Klassenliste!$C$6:$C$40,34)&amp;" "&amp;INDEX(Klassenliste!$B$6:$B$40,34),"")</f>
        <v/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74" t="n"/>
    </row>
    <row r="567" ht="8" customHeight="1">
      <c r="B567" s="76" t="n"/>
      <c r="O567" s="74" t="n"/>
    </row>
    <row r="568" ht="18" customHeight="1">
      <c r="B568" s="77">
        <f>IF(INDEX(Klassenliste!$B$6:$B$40,34)&lt;&gt;0,"Aufgabe","")</f>
        <v/>
      </c>
      <c r="C568" s="78">
        <f>IF(AND(INDEX(Klassenliste!$B$6:$B$40,34)&lt;&gt;0,NOT(OR(RB_Daten!B$3="",RB_Daten!B$3=0))),RB_Daten!B$2,"")</f>
        <v/>
      </c>
      <c r="D568" s="78">
        <f>IF(AND(INDEX(Klassenliste!$B$6:$B$40,34)&lt;&gt;0,NOT(OR(RB_Daten!C$3="",RB_Daten!C$3=0))),RB_Daten!C$2,"")</f>
        <v/>
      </c>
      <c r="E568" s="78">
        <f>IF(AND(INDEX(Klassenliste!$B$6:$B$40,34)&lt;&gt;0,NOT(OR(RB_Daten!D$3="",RB_Daten!D$3=0))),RB_Daten!D$2,"")</f>
        <v/>
      </c>
      <c r="F568" s="78">
        <f>IF(AND(INDEX(Klassenliste!$B$6:$B$40,34)&lt;&gt;0,NOT(OR(RB_Daten!E$3="",RB_Daten!E$3=0))),RB_Daten!E$2,"")</f>
        <v/>
      </c>
      <c r="G568" s="78">
        <f>IF(AND(INDEX(Klassenliste!$B$6:$B$40,34)&lt;&gt;0,NOT(OR(RB_Daten!F$3="",RB_Daten!F$3=0))),RB_Daten!F$2,"")</f>
        <v/>
      </c>
      <c r="H568" s="78">
        <f>IF(AND(INDEX(Klassenliste!$B$6:$B$40,34)&lt;&gt;0,NOT(OR(RB_Daten!G$3="",RB_Daten!G$3=0))),RB_Daten!G$2,"")</f>
        <v/>
      </c>
      <c r="I568" s="78">
        <f>IF(AND(INDEX(Klassenliste!$B$6:$B$40,34)&lt;&gt;0,NOT(OR(RB_Daten!H$3="",RB_Daten!H$3=0))),RB_Daten!H$2,"")</f>
        <v/>
      </c>
      <c r="J568" s="78">
        <f>IF(AND(INDEX(Klassenliste!$B$6:$B$40,34)&lt;&gt;0,NOT(OR(RB_Daten!I$3="",RB_Daten!I$3=0))),RB_Daten!I$2,"")</f>
        <v/>
      </c>
      <c r="K568" s="78">
        <f>IF(AND(INDEX(Klassenliste!$B$6:$B$40,34)&lt;&gt;0,NOT(OR(RB_Daten!J$3="",RB_Daten!J$3=0))),RB_Daten!J$2,"")</f>
        <v/>
      </c>
      <c r="L568" s="78">
        <f>IF(AND(INDEX(Klassenliste!$B$6:$B$40,34)&lt;&gt;0,NOT(OR(RB_Daten!K$3="",RB_Daten!K$3=0))),RB_Daten!K$2,"")</f>
        <v/>
      </c>
      <c r="M568" s="78">
        <f>IF(AND(INDEX(Klassenliste!$B$6:$B$40,34)&lt;&gt;0,NOT(OR(RB_Daten!L$3="",RB_Daten!L$3=0))),RB_Daten!L$2,"")</f>
        <v/>
      </c>
      <c r="N568" s="78">
        <f>IF(AND(INDEX(Klassenliste!$B$6:$B$40,34)&lt;&gt;0,NOT(OR(RB_Daten!M$3="",RB_Daten!M$3=0))),RB_Daten!M$2,"")</f>
        <v/>
      </c>
      <c r="O568" s="79">
        <f>IF(INDEX(Klassenliste!$B$6:$B$40,34)&lt;&gt;0,"Gesamt","")</f>
        <v/>
      </c>
    </row>
    <row r="569" ht="18" customHeight="1">
      <c r="B569" s="80">
        <f>IF(INDEX(Klassenliste!$B$6:$B$40,34)&lt;&gt;0,"max. Punkte","")</f>
        <v/>
      </c>
      <c r="C569" s="81">
        <f>IF(AND(INDEX(Klassenliste!$B$6:$B$40,34)&lt;&gt;0,NOT(OR(RB_Daten!B$3="",RB_Daten!B$3=0))),RB_Daten!B$3,"")</f>
        <v/>
      </c>
      <c r="D569" s="81">
        <f>IF(AND(INDEX(Klassenliste!$B$6:$B$40,34)&lt;&gt;0,NOT(OR(RB_Daten!C$3="",RB_Daten!C$3=0))),RB_Daten!C$3,"")</f>
        <v/>
      </c>
      <c r="E569" s="81">
        <f>IF(AND(INDEX(Klassenliste!$B$6:$B$40,34)&lt;&gt;0,NOT(OR(RB_Daten!D$3="",RB_Daten!D$3=0))),RB_Daten!D$3,"")</f>
        <v/>
      </c>
      <c r="F569" s="81">
        <f>IF(AND(INDEX(Klassenliste!$B$6:$B$40,34)&lt;&gt;0,NOT(OR(RB_Daten!E$3="",RB_Daten!E$3=0))),RB_Daten!E$3,"")</f>
        <v/>
      </c>
      <c r="G569" s="81">
        <f>IF(AND(INDEX(Klassenliste!$B$6:$B$40,34)&lt;&gt;0,NOT(OR(RB_Daten!F$3="",RB_Daten!F$3=0))),RB_Daten!F$3,"")</f>
        <v/>
      </c>
      <c r="H569" s="81">
        <f>IF(AND(INDEX(Klassenliste!$B$6:$B$40,34)&lt;&gt;0,NOT(OR(RB_Daten!G$3="",RB_Daten!G$3=0))),RB_Daten!G$3,"")</f>
        <v/>
      </c>
      <c r="I569" s="81">
        <f>IF(AND(INDEX(Klassenliste!$B$6:$B$40,34)&lt;&gt;0,NOT(OR(RB_Daten!H$3="",RB_Daten!H$3=0))),RB_Daten!H$3,"")</f>
        <v/>
      </c>
      <c r="J569" s="81">
        <f>IF(AND(INDEX(Klassenliste!$B$6:$B$40,34)&lt;&gt;0,NOT(OR(RB_Daten!I$3="",RB_Daten!I$3=0))),RB_Daten!I$3,"")</f>
        <v/>
      </c>
      <c r="K569" s="81">
        <f>IF(AND(INDEX(Klassenliste!$B$6:$B$40,34)&lt;&gt;0,NOT(OR(RB_Daten!J$3="",RB_Daten!J$3=0))),RB_Daten!J$3,"")</f>
        <v/>
      </c>
      <c r="L569" s="81">
        <f>IF(AND(INDEX(Klassenliste!$B$6:$B$40,34)&lt;&gt;0,NOT(OR(RB_Daten!K$3="",RB_Daten!K$3=0))),RB_Daten!K$3,"")</f>
        <v/>
      </c>
      <c r="M569" s="81">
        <f>IF(AND(INDEX(Klassenliste!$B$6:$B$40,34)&lt;&gt;0,NOT(OR(RB_Daten!L$3="",RB_Daten!L$3=0))),RB_Daten!L$3,"")</f>
        <v/>
      </c>
      <c r="N569" s="81">
        <f>IF(AND(INDEX(Klassenliste!$B$6:$B$40,34)&lt;&gt;0,NOT(OR(RB_Daten!M$3="",RB_Daten!M$3=0))),RB_Daten!M$3,"")</f>
        <v/>
      </c>
      <c r="O569" s="82">
        <f>IF(INDEX(Klassenliste!$B$6:$B$40,34)&lt;&gt;0,IF(RB_Daten!$A$4="","",RB_Daten!$A$4),"")</f>
        <v/>
      </c>
    </row>
    <row r="570" ht="18" customHeight="1">
      <c r="B570" s="83">
        <f>IF(INDEX(Klassenliste!$B$6:$B$40,34)&lt;&gt;0,"erreicht","")</f>
        <v/>
      </c>
      <c r="C570" s="84">
        <f>IF(AND(INDEX(Klassenliste!$B$6:$B$40,34)&lt;&gt;0,NOT(OR(RB_Daten!B$3="",RB_Daten!B$3=0))),IF(RB_Daten!B$38="","",RB_Daten!B$38),"")</f>
        <v/>
      </c>
      <c r="D570" s="84">
        <f>IF(AND(INDEX(Klassenliste!$B$6:$B$40,34)&lt;&gt;0,NOT(OR(RB_Daten!C$3="",RB_Daten!C$3=0))),IF(RB_Daten!C$38="","",RB_Daten!C$38),"")</f>
        <v/>
      </c>
      <c r="E570" s="84">
        <f>IF(AND(INDEX(Klassenliste!$B$6:$B$40,34)&lt;&gt;0,NOT(OR(RB_Daten!D$3="",RB_Daten!D$3=0))),IF(RB_Daten!D$38="","",RB_Daten!D$38),"")</f>
        <v/>
      </c>
      <c r="F570" s="84">
        <f>IF(AND(INDEX(Klassenliste!$B$6:$B$40,34)&lt;&gt;0,NOT(OR(RB_Daten!E$3="",RB_Daten!E$3=0))),IF(RB_Daten!E$38="","",RB_Daten!E$38),"")</f>
        <v/>
      </c>
      <c r="G570" s="84">
        <f>IF(AND(INDEX(Klassenliste!$B$6:$B$40,34)&lt;&gt;0,NOT(OR(RB_Daten!F$3="",RB_Daten!F$3=0))),IF(RB_Daten!F$38="","",RB_Daten!F$38),"")</f>
        <v/>
      </c>
      <c r="H570" s="84">
        <f>IF(AND(INDEX(Klassenliste!$B$6:$B$40,34)&lt;&gt;0,NOT(OR(RB_Daten!G$3="",RB_Daten!G$3=0))),IF(RB_Daten!G$38="","",RB_Daten!G$38),"")</f>
        <v/>
      </c>
      <c r="I570" s="84">
        <f>IF(AND(INDEX(Klassenliste!$B$6:$B$40,34)&lt;&gt;0,NOT(OR(RB_Daten!H$3="",RB_Daten!H$3=0))),IF(RB_Daten!H$38="","",RB_Daten!H$38),"")</f>
        <v/>
      </c>
      <c r="J570" s="84">
        <f>IF(AND(INDEX(Klassenliste!$B$6:$B$40,34)&lt;&gt;0,NOT(OR(RB_Daten!I$3="",RB_Daten!I$3=0))),IF(RB_Daten!I$38="","",RB_Daten!I$38),"")</f>
        <v/>
      </c>
      <c r="K570" s="84">
        <f>IF(AND(INDEX(Klassenliste!$B$6:$B$40,34)&lt;&gt;0,NOT(OR(RB_Daten!J$3="",RB_Daten!J$3=0))),IF(RB_Daten!J$38="","",RB_Daten!J$38),"")</f>
        <v/>
      </c>
      <c r="L570" s="84">
        <f>IF(AND(INDEX(Klassenliste!$B$6:$B$40,34)&lt;&gt;0,NOT(OR(RB_Daten!K$3="",RB_Daten!K$3=0))),IF(RB_Daten!K$38="","",RB_Daten!K$38),"")</f>
        <v/>
      </c>
      <c r="M570" s="84">
        <f>IF(AND(INDEX(Klassenliste!$B$6:$B$40,34)&lt;&gt;0,NOT(OR(RB_Daten!L$3="",RB_Daten!L$3=0))),IF(RB_Daten!L$38="","",RB_Daten!L$38),"")</f>
        <v/>
      </c>
      <c r="N570" s="84">
        <f>IF(AND(INDEX(Klassenliste!$B$6:$B$40,34)&lt;&gt;0,NOT(OR(RB_Daten!M$3="",RB_Daten!M$3=0))),IF(RB_Daten!M$38="","",RB_Daten!M$38),"")</f>
        <v/>
      </c>
      <c r="O570" s="85">
        <f>IF(INDEX(Klassenliste!$B$6:$B$40,34)&lt;&gt;0,IF(RB_Daten!$N38="","",RB_Daten!$N38),"")</f>
        <v/>
      </c>
    </row>
    <row r="571" ht="10" customHeight="1">
      <c r="B571" s="76" t="n"/>
      <c r="O571" s="74" t="n"/>
    </row>
    <row r="572" ht="24" customHeight="1">
      <c r="B572" s="73">
        <f>IF(INDEX(Klassenliste!$B$6:$B$40,34)&lt;&gt;0,IF(RB_Daten!$O38="","Ergebnis: –","Ergebnis: "&amp;ROUND(RB_Daten!$O38*100,1)&amp;" %"),"")</f>
        <v/>
      </c>
      <c r="F572" s="86">
        <f>IF(INDEX(Klassenliste!$B$6:$B$40,34)&lt;&gt;0,IF(RB_Daten!$P38="","Punkte: –","Punkte: "&amp;RB_Daten!$P38&amp;"  ("&amp;RB_Daten!$Q38&amp;")"),"")</f>
        <v/>
      </c>
      <c r="O572" s="74" t="n"/>
    </row>
    <row r="573" ht="16" customHeight="1">
      <c r="B573" s="87">
        <f>IF(INDEX(Klassenliste!$B$6:$B$40,34)&lt;&gt;0,"Notenschlüssel:","")</f>
        <v/>
      </c>
      <c r="C573" s="46">
        <f>IF(INDEX(Klassenliste!$B$6:$B$40,34)&lt;&gt;0,"Note 1","")</f>
        <v/>
      </c>
      <c r="D573" s="46">
        <f>IF(INDEX(Klassenliste!$B$6:$B$40,34)&lt;&gt;0,"Note 2","")</f>
        <v/>
      </c>
      <c r="E573" s="46">
        <f>IF(INDEX(Klassenliste!$B$6:$B$40,34)&lt;&gt;0,"Note 3","")</f>
        <v/>
      </c>
      <c r="F573" s="46">
        <f>IF(INDEX(Klassenliste!$B$6:$B$40,34)&lt;&gt;0,"Note 4","")</f>
        <v/>
      </c>
      <c r="G573" s="46">
        <f>IF(INDEX(Klassenliste!$B$6:$B$40,34)&lt;&gt;0,"Note 5","")</f>
        <v/>
      </c>
      <c r="H573" s="46">
        <f>IF(INDEX(Klassenliste!$B$6:$B$40,34)&lt;&gt;0,"Note 6","")</f>
        <v/>
      </c>
      <c r="O573" s="74" t="n"/>
    </row>
    <row r="574" ht="16" customHeight="1">
      <c r="B574" s="87">
        <f>IF(INDEX(Klassenliste!$B$6:$B$40,34)&lt;&gt;0,"ab Punkten:","")</f>
        <v/>
      </c>
      <c r="C574" s="88">
        <f>IF(AND(INDEX(Klassenliste!$B$6:$B$40,34)&lt;&gt;0,RB_Daten!$A$4&lt;&gt;""),CEILING(Notentabelle!$C$17*RB_Daten!$A$4,0.5),"")</f>
        <v/>
      </c>
      <c r="D574" s="88">
        <f>IF(AND(INDEX(Klassenliste!$B$6:$B$40,34)&lt;&gt;0,RB_Daten!$A$4&lt;&gt;""),CEILING(Notentabelle!$C$14*RB_Daten!$A$4,0.5),"")</f>
        <v/>
      </c>
      <c r="E574" s="88">
        <f>IF(AND(INDEX(Klassenliste!$B$6:$B$40,34)&lt;&gt;0,RB_Daten!$A$4&lt;&gt;""),CEILING(Notentabelle!$C$11*RB_Daten!$A$4,0.5),"")</f>
        <v/>
      </c>
      <c r="F574" s="88">
        <f>IF(AND(INDEX(Klassenliste!$B$6:$B$40,34)&lt;&gt;0,RB_Daten!$A$4&lt;&gt;""),CEILING(Notentabelle!$C$8*RB_Daten!$A$4,0.5),"")</f>
        <v/>
      </c>
      <c r="G574" s="88">
        <f>IF(AND(INDEX(Klassenliste!$B$6:$B$40,34)&lt;&gt;0,RB_Daten!$A$4&lt;&gt;""),CEILING(Notentabelle!$C$5*RB_Daten!$A$4,0.5),"")</f>
        <v/>
      </c>
      <c r="H574" s="88">
        <f>IF(AND(INDEX(Klassenliste!$B$6:$B$40,34)&lt;&gt;0,RB_Daten!$A$4&lt;&gt;""),CEILING(0*RB_Daten!$A$4,0.5),"")</f>
        <v/>
      </c>
      <c r="O574" s="74" t="n"/>
    </row>
    <row r="575" ht="14" customHeight="1">
      <c r="B575" s="76" t="n"/>
      <c r="O575" s="74" t="n"/>
    </row>
    <row r="576" ht="110" customHeight="1">
      <c r="B576" s="89">
        <f>IF(INDEX(Klassenliste!$B$6:$B$40,34)&lt;&gt;0,"Lob / Hinweis:","")</f>
        <v/>
      </c>
      <c r="C576" s="90">
        <f>IF(INDEX(Klassenliste!$B$6:$B$40,34)&lt;&gt;0,RB_Daten!$R$38,"")</f>
        <v/>
      </c>
      <c r="D576" s="91" t="n"/>
      <c r="E576" s="91" t="n"/>
      <c r="F576" s="91" t="n"/>
      <c r="G576" s="91" t="n"/>
      <c r="H576" s="91" t="n"/>
      <c r="I576" s="91" t="n"/>
      <c r="J576" s="91" t="n"/>
      <c r="K576" s="91" t="n"/>
      <c r="L576" s="91" t="n"/>
      <c r="M576" s="91" t="n"/>
      <c r="N576" s="91" t="n"/>
      <c r="O576" s="74" t="n"/>
    </row>
    <row r="577" ht="22" customHeight="1">
      <c r="B577" s="87">
        <f>IF(INDEX(Klassenliste!$B$6:$B$40,34)&lt;&gt;0,"Unterschrift Erziehungsberechtigte/r:","")</f>
        <v/>
      </c>
      <c r="F577" s="92" t="n"/>
      <c r="G577" s="92" t="n"/>
      <c r="H577" s="92" t="n"/>
      <c r="I577" s="92" t="n"/>
      <c r="O577" s="74" t="n"/>
    </row>
    <row r="578" ht="8" customHeight="1">
      <c r="B578" s="93" t="n"/>
      <c r="C578" s="94" t="n"/>
      <c r="D578" s="94" t="n"/>
      <c r="E578" s="94" t="n"/>
      <c r="F578" s="94" t="n"/>
      <c r="G578" s="94" t="n"/>
      <c r="H578" s="94" t="n"/>
      <c r="I578" s="94" t="n"/>
      <c r="J578" s="94" t="n"/>
      <c r="K578" s="94" t="n"/>
      <c r="L578" s="94" t="n"/>
      <c r="M578" s="94" t="n"/>
      <c r="N578" s="94" t="n"/>
      <c r="O578" s="95" t="n"/>
    </row>
    <row r="579" ht="27.5" customHeight="1"/>
    <row r="580" ht="27.5" customHeight="1"/>
    <row r="581" ht="6" customHeight="1">
      <c r="B581" s="70" t="n"/>
      <c r="C581" s="71" t="n"/>
      <c r="D581" s="71" t="n"/>
      <c r="E581" s="71" t="n"/>
      <c r="F581" s="71" t="n"/>
      <c r="G581" s="71" t="n"/>
      <c r="H581" s="71" t="n"/>
      <c r="I581" s="71" t="n"/>
      <c r="J581" s="71" t="n"/>
      <c r="K581" s="71" t="n"/>
      <c r="L581" s="71" t="n"/>
      <c r="M581" s="71" t="n"/>
      <c r="N581" s="71" t="n"/>
      <c r="O581" s="72" t="n"/>
    </row>
    <row r="582" ht="20" customHeight="1">
      <c r="B582" s="73">
        <f>IF(INDEX(Klassenliste!$B$6:$B$40,35)&lt;&gt;0,"Klausur "&amp;$C$2&amp;" · "&amp;Klassenliste!$E$2&amp;" · "&amp;Klassenliste!$J$2&amp;IF(RB_Daten!$A$3="",""," · "&amp;RB_Daten!$A$3),"")</f>
        <v/>
      </c>
      <c r="J582" s="12">
        <f>IF(INDEX(Klassenliste!$B$6:$B$40,35)&lt;&gt;0,IF(RB_Daten!$A$2="","Datum: ______","Datum: "&amp;IFERROR(TEXT(RB_Daten!$A$2,"TT.MM.JJJJ"),RB_Daten!$A$2)),"")</f>
        <v/>
      </c>
      <c r="O582" s="74" t="n"/>
    </row>
    <row r="583" ht="20" customHeight="1">
      <c r="B583" s="75">
        <f>IF(INDEX(Klassenliste!$B$6:$B$40,35)&lt;&gt;0,"Name: "&amp;INDEX(Klassenliste!$C$6:$C$40,35)&amp;" "&amp;INDEX(Klassenliste!$B$6:$B$40,35),"")</f>
        <v/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74" t="n"/>
    </row>
    <row r="584" ht="8" customHeight="1">
      <c r="B584" s="76" t="n"/>
      <c r="O584" s="74" t="n"/>
    </row>
    <row r="585" ht="18" customHeight="1">
      <c r="B585" s="77">
        <f>IF(INDEX(Klassenliste!$B$6:$B$40,35)&lt;&gt;0,"Aufgabe","")</f>
        <v/>
      </c>
      <c r="C585" s="78">
        <f>IF(AND(INDEX(Klassenliste!$B$6:$B$40,35)&lt;&gt;0,NOT(OR(RB_Daten!B$3="",RB_Daten!B$3=0))),RB_Daten!B$2,"")</f>
        <v/>
      </c>
      <c r="D585" s="78">
        <f>IF(AND(INDEX(Klassenliste!$B$6:$B$40,35)&lt;&gt;0,NOT(OR(RB_Daten!C$3="",RB_Daten!C$3=0))),RB_Daten!C$2,"")</f>
        <v/>
      </c>
      <c r="E585" s="78">
        <f>IF(AND(INDEX(Klassenliste!$B$6:$B$40,35)&lt;&gt;0,NOT(OR(RB_Daten!D$3="",RB_Daten!D$3=0))),RB_Daten!D$2,"")</f>
        <v/>
      </c>
      <c r="F585" s="78">
        <f>IF(AND(INDEX(Klassenliste!$B$6:$B$40,35)&lt;&gt;0,NOT(OR(RB_Daten!E$3="",RB_Daten!E$3=0))),RB_Daten!E$2,"")</f>
        <v/>
      </c>
      <c r="G585" s="78">
        <f>IF(AND(INDEX(Klassenliste!$B$6:$B$40,35)&lt;&gt;0,NOT(OR(RB_Daten!F$3="",RB_Daten!F$3=0))),RB_Daten!F$2,"")</f>
        <v/>
      </c>
      <c r="H585" s="78">
        <f>IF(AND(INDEX(Klassenliste!$B$6:$B$40,35)&lt;&gt;0,NOT(OR(RB_Daten!G$3="",RB_Daten!G$3=0))),RB_Daten!G$2,"")</f>
        <v/>
      </c>
      <c r="I585" s="78">
        <f>IF(AND(INDEX(Klassenliste!$B$6:$B$40,35)&lt;&gt;0,NOT(OR(RB_Daten!H$3="",RB_Daten!H$3=0))),RB_Daten!H$2,"")</f>
        <v/>
      </c>
      <c r="J585" s="78">
        <f>IF(AND(INDEX(Klassenliste!$B$6:$B$40,35)&lt;&gt;0,NOT(OR(RB_Daten!I$3="",RB_Daten!I$3=0))),RB_Daten!I$2,"")</f>
        <v/>
      </c>
      <c r="K585" s="78">
        <f>IF(AND(INDEX(Klassenliste!$B$6:$B$40,35)&lt;&gt;0,NOT(OR(RB_Daten!J$3="",RB_Daten!J$3=0))),RB_Daten!J$2,"")</f>
        <v/>
      </c>
      <c r="L585" s="78">
        <f>IF(AND(INDEX(Klassenliste!$B$6:$B$40,35)&lt;&gt;0,NOT(OR(RB_Daten!K$3="",RB_Daten!K$3=0))),RB_Daten!K$2,"")</f>
        <v/>
      </c>
      <c r="M585" s="78">
        <f>IF(AND(INDEX(Klassenliste!$B$6:$B$40,35)&lt;&gt;0,NOT(OR(RB_Daten!L$3="",RB_Daten!L$3=0))),RB_Daten!L$2,"")</f>
        <v/>
      </c>
      <c r="N585" s="78">
        <f>IF(AND(INDEX(Klassenliste!$B$6:$B$40,35)&lt;&gt;0,NOT(OR(RB_Daten!M$3="",RB_Daten!M$3=0))),RB_Daten!M$2,"")</f>
        <v/>
      </c>
      <c r="O585" s="79">
        <f>IF(INDEX(Klassenliste!$B$6:$B$40,35)&lt;&gt;0,"Gesamt","")</f>
        <v/>
      </c>
    </row>
    <row r="586" ht="18" customHeight="1">
      <c r="B586" s="80">
        <f>IF(INDEX(Klassenliste!$B$6:$B$40,35)&lt;&gt;0,"max. Punkte","")</f>
        <v/>
      </c>
      <c r="C586" s="81">
        <f>IF(AND(INDEX(Klassenliste!$B$6:$B$40,35)&lt;&gt;0,NOT(OR(RB_Daten!B$3="",RB_Daten!B$3=0))),RB_Daten!B$3,"")</f>
        <v/>
      </c>
      <c r="D586" s="81">
        <f>IF(AND(INDEX(Klassenliste!$B$6:$B$40,35)&lt;&gt;0,NOT(OR(RB_Daten!C$3="",RB_Daten!C$3=0))),RB_Daten!C$3,"")</f>
        <v/>
      </c>
      <c r="E586" s="81">
        <f>IF(AND(INDEX(Klassenliste!$B$6:$B$40,35)&lt;&gt;0,NOT(OR(RB_Daten!D$3="",RB_Daten!D$3=0))),RB_Daten!D$3,"")</f>
        <v/>
      </c>
      <c r="F586" s="81">
        <f>IF(AND(INDEX(Klassenliste!$B$6:$B$40,35)&lt;&gt;0,NOT(OR(RB_Daten!E$3="",RB_Daten!E$3=0))),RB_Daten!E$3,"")</f>
        <v/>
      </c>
      <c r="G586" s="81">
        <f>IF(AND(INDEX(Klassenliste!$B$6:$B$40,35)&lt;&gt;0,NOT(OR(RB_Daten!F$3="",RB_Daten!F$3=0))),RB_Daten!F$3,"")</f>
        <v/>
      </c>
      <c r="H586" s="81">
        <f>IF(AND(INDEX(Klassenliste!$B$6:$B$40,35)&lt;&gt;0,NOT(OR(RB_Daten!G$3="",RB_Daten!G$3=0))),RB_Daten!G$3,"")</f>
        <v/>
      </c>
      <c r="I586" s="81">
        <f>IF(AND(INDEX(Klassenliste!$B$6:$B$40,35)&lt;&gt;0,NOT(OR(RB_Daten!H$3="",RB_Daten!H$3=0))),RB_Daten!H$3,"")</f>
        <v/>
      </c>
      <c r="J586" s="81">
        <f>IF(AND(INDEX(Klassenliste!$B$6:$B$40,35)&lt;&gt;0,NOT(OR(RB_Daten!I$3="",RB_Daten!I$3=0))),RB_Daten!I$3,"")</f>
        <v/>
      </c>
      <c r="K586" s="81">
        <f>IF(AND(INDEX(Klassenliste!$B$6:$B$40,35)&lt;&gt;0,NOT(OR(RB_Daten!J$3="",RB_Daten!J$3=0))),RB_Daten!J$3,"")</f>
        <v/>
      </c>
      <c r="L586" s="81">
        <f>IF(AND(INDEX(Klassenliste!$B$6:$B$40,35)&lt;&gt;0,NOT(OR(RB_Daten!K$3="",RB_Daten!K$3=0))),RB_Daten!K$3,"")</f>
        <v/>
      </c>
      <c r="M586" s="81">
        <f>IF(AND(INDEX(Klassenliste!$B$6:$B$40,35)&lt;&gt;0,NOT(OR(RB_Daten!L$3="",RB_Daten!L$3=0))),RB_Daten!L$3,"")</f>
        <v/>
      </c>
      <c r="N586" s="81">
        <f>IF(AND(INDEX(Klassenliste!$B$6:$B$40,35)&lt;&gt;0,NOT(OR(RB_Daten!M$3="",RB_Daten!M$3=0))),RB_Daten!M$3,"")</f>
        <v/>
      </c>
      <c r="O586" s="82">
        <f>IF(INDEX(Klassenliste!$B$6:$B$40,35)&lt;&gt;0,IF(RB_Daten!$A$4="","",RB_Daten!$A$4),"")</f>
        <v/>
      </c>
    </row>
    <row r="587" ht="18" customHeight="1">
      <c r="B587" s="83">
        <f>IF(INDEX(Klassenliste!$B$6:$B$40,35)&lt;&gt;0,"erreicht","")</f>
        <v/>
      </c>
      <c r="C587" s="84">
        <f>IF(AND(INDEX(Klassenliste!$B$6:$B$40,35)&lt;&gt;0,NOT(OR(RB_Daten!B$3="",RB_Daten!B$3=0))),IF(RB_Daten!B$39="","",RB_Daten!B$39),"")</f>
        <v/>
      </c>
      <c r="D587" s="84">
        <f>IF(AND(INDEX(Klassenliste!$B$6:$B$40,35)&lt;&gt;0,NOT(OR(RB_Daten!C$3="",RB_Daten!C$3=0))),IF(RB_Daten!C$39="","",RB_Daten!C$39),"")</f>
        <v/>
      </c>
      <c r="E587" s="84">
        <f>IF(AND(INDEX(Klassenliste!$B$6:$B$40,35)&lt;&gt;0,NOT(OR(RB_Daten!D$3="",RB_Daten!D$3=0))),IF(RB_Daten!D$39="","",RB_Daten!D$39),"")</f>
        <v/>
      </c>
      <c r="F587" s="84">
        <f>IF(AND(INDEX(Klassenliste!$B$6:$B$40,35)&lt;&gt;0,NOT(OR(RB_Daten!E$3="",RB_Daten!E$3=0))),IF(RB_Daten!E$39="","",RB_Daten!E$39),"")</f>
        <v/>
      </c>
      <c r="G587" s="84">
        <f>IF(AND(INDEX(Klassenliste!$B$6:$B$40,35)&lt;&gt;0,NOT(OR(RB_Daten!F$3="",RB_Daten!F$3=0))),IF(RB_Daten!F$39="","",RB_Daten!F$39),"")</f>
        <v/>
      </c>
      <c r="H587" s="84">
        <f>IF(AND(INDEX(Klassenliste!$B$6:$B$40,35)&lt;&gt;0,NOT(OR(RB_Daten!G$3="",RB_Daten!G$3=0))),IF(RB_Daten!G$39="","",RB_Daten!G$39),"")</f>
        <v/>
      </c>
      <c r="I587" s="84">
        <f>IF(AND(INDEX(Klassenliste!$B$6:$B$40,35)&lt;&gt;0,NOT(OR(RB_Daten!H$3="",RB_Daten!H$3=0))),IF(RB_Daten!H$39="","",RB_Daten!H$39),"")</f>
        <v/>
      </c>
      <c r="J587" s="84">
        <f>IF(AND(INDEX(Klassenliste!$B$6:$B$40,35)&lt;&gt;0,NOT(OR(RB_Daten!I$3="",RB_Daten!I$3=0))),IF(RB_Daten!I$39="","",RB_Daten!I$39),"")</f>
        <v/>
      </c>
      <c r="K587" s="84">
        <f>IF(AND(INDEX(Klassenliste!$B$6:$B$40,35)&lt;&gt;0,NOT(OR(RB_Daten!J$3="",RB_Daten!J$3=0))),IF(RB_Daten!J$39="","",RB_Daten!J$39),"")</f>
        <v/>
      </c>
      <c r="L587" s="84">
        <f>IF(AND(INDEX(Klassenliste!$B$6:$B$40,35)&lt;&gt;0,NOT(OR(RB_Daten!K$3="",RB_Daten!K$3=0))),IF(RB_Daten!K$39="","",RB_Daten!K$39),"")</f>
        <v/>
      </c>
      <c r="M587" s="84">
        <f>IF(AND(INDEX(Klassenliste!$B$6:$B$40,35)&lt;&gt;0,NOT(OR(RB_Daten!L$3="",RB_Daten!L$3=0))),IF(RB_Daten!L$39="","",RB_Daten!L$39),"")</f>
        <v/>
      </c>
      <c r="N587" s="84">
        <f>IF(AND(INDEX(Klassenliste!$B$6:$B$40,35)&lt;&gt;0,NOT(OR(RB_Daten!M$3="",RB_Daten!M$3=0))),IF(RB_Daten!M$39="","",RB_Daten!M$39),"")</f>
        <v/>
      </c>
      <c r="O587" s="85">
        <f>IF(INDEX(Klassenliste!$B$6:$B$40,35)&lt;&gt;0,IF(RB_Daten!$N39="","",RB_Daten!$N39),"")</f>
        <v/>
      </c>
    </row>
    <row r="588" ht="10" customHeight="1">
      <c r="B588" s="76" t="n"/>
      <c r="O588" s="74" t="n"/>
    </row>
    <row r="589" ht="24" customHeight="1">
      <c r="B589" s="73">
        <f>IF(INDEX(Klassenliste!$B$6:$B$40,35)&lt;&gt;0,IF(RB_Daten!$O39="","Ergebnis: –","Ergebnis: "&amp;ROUND(RB_Daten!$O39*100,1)&amp;" %"),"")</f>
        <v/>
      </c>
      <c r="F589" s="86">
        <f>IF(INDEX(Klassenliste!$B$6:$B$40,35)&lt;&gt;0,IF(RB_Daten!$P39="","Punkte: –","Punkte: "&amp;RB_Daten!$P39&amp;"  ("&amp;RB_Daten!$Q39&amp;")"),"")</f>
        <v/>
      </c>
      <c r="O589" s="74" t="n"/>
    </row>
    <row r="590" ht="16" customHeight="1">
      <c r="B590" s="87">
        <f>IF(INDEX(Klassenliste!$B$6:$B$40,35)&lt;&gt;0,"Notenschlüssel:","")</f>
        <v/>
      </c>
      <c r="C590" s="46">
        <f>IF(INDEX(Klassenliste!$B$6:$B$40,35)&lt;&gt;0,"Note 1","")</f>
        <v/>
      </c>
      <c r="D590" s="46">
        <f>IF(INDEX(Klassenliste!$B$6:$B$40,35)&lt;&gt;0,"Note 2","")</f>
        <v/>
      </c>
      <c r="E590" s="46">
        <f>IF(INDEX(Klassenliste!$B$6:$B$40,35)&lt;&gt;0,"Note 3","")</f>
        <v/>
      </c>
      <c r="F590" s="46">
        <f>IF(INDEX(Klassenliste!$B$6:$B$40,35)&lt;&gt;0,"Note 4","")</f>
        <v/>
      </c>
      <c r="G590" s="46">
        <f>IF(INDEX(Klassenliste!$B$6:$B$40,35)&lt;&gt;0,"Note 5","")</f>
        <v/>
      </c>
      <c r="H590" s="46">
        <f>IF(INDEX(Klassenliste!$B$6:$B$40,35)&lt;&gt;0,"Note 6","")</f>
        <v/>
      </c>
      <c r="O590" s="74" t="n"/>
    </row>
    <row r="591" ht="16" customHeight="1">
      <c r="B591" s="87">
        <f>IF(INDEX(Klassenliste!$B$6:$B$40,35)&lt;&gt;0,"ab Punkten:","")</f>
        <v/>
      </c>
      <c r="C591" s="88">
        <f>IF(AND(INDEX(Klassenliste!$B$6:$B$40,35)&lt;&gt;0,RB_Daten!$A$4&lt;&gt;""),CEILING(Notentabelle!$C$17*RB_Daten!$A$4,0.5),"")</f>
        <v/>
      </c>
      <c r="D591" s="88">
        <f>IF(AND(INDEX(Klassenliste!$B$6:$B$40,35)&lt;&gt;0,RB_Daten!$A$4&lt;&gt;""),CEILING(Notentabelle!$C$14*RB_Daten!$A$4,0.5),"")</f>
        <v/>
      </c>
      <c r="E591" s="88">
        <f>IF(AND(INDEX(Klassenliste!$B$6:$B$40,35)&lt;&gt;0,RB_Daten!$A$4&lt;&gt;""),CEILING(Notentabelle!$C$11*RB_Daten!$A$4,0.5),"")</f>
        <v/>
      </c>
      <c r="F591" s="88">
        <f>IF(AND(INDEX(Klassenliste!$B$6:$B$40,35)&lt;&gt;0,RB_Daten!$A$4&lt;&gt;""),CEILING(Notentabelle!$C$8*RB_Daten!$A$4,0.5),"")</f>
        <v/>
      </c>
      <c r="G591" s="88">
        <f>IF(AND(INDEX(Klassenliste!$B$6:$B$40,35)&lt;&gt;0,RB_Daten!$A$4&lt;&gt;""),CEILING(Notentabelle!$C$5*RB_Daten!$A$4,0.5),"")</f>
        <v/>
      </c>
      <c r="H591" s="88">
        <f>IF(AND(INDEX(Klassenliste!$B$6:$B$40,35)&lt;&gt;0,RB_Daten!$A$4&lt;&gt;""),CEILING(0*RB_Daten!$A$4,0.5),"")</f>
        <v/>
      </c>
      <c r="O591" s="74" t="n"/>
    </row>
    <row r="592" ht="14" customHeight="1">
      <c r="B592" s="76" t="n"/>
      <c r="O592" s="74" t="n"/>
    </row>
    <row r="593" ht="110" customHeight="1">
      <c r="B593" s="89">
        <f>IF(INDEX(Klassenliste!$B$6:$B$40,35)&lt;&gt;0,"Lob / Hinweis:","")</f>
        <v/>
      </c>
      <c r="C593" s="90">
        <f>IF(INDEX(Klassenliste!$B$6:$B$40,35)&lt;&gt;0,RB_Daten!$R$39,"")</f>
        <v/>
      </c>
      <c r="D593" s="91" t="n"/>
      <c r="E593" s="91" t="n"/>
      <c r="F593" s="91" t="n"/>
      <c r="G593" s="91" t="n"/>
      <c r="H593" s="91" t="n"/>
      <c r="I593" s="91" t="n"/>
      <c r="J593" s="91" t="n"/>
      <c r="K593" s="91" t="n"/>
      <c r="L593" s="91" t="n"/>
      <c r="M593" s="91" t="n"/>
      <c r="N593" s="91" t="n"/>
      <c r="O593" s="74" t="n"/>
    </row>
    <row r="594" ht="22" customHeight="1">
      <c r="B594" s="87">
        <f>IF(INDEX(Klassenliste!$B$6:$B$40,35)&lt;&gt;0,"Unterschrift Erziehungsberechtigte/r:","")</f>
        <v/>
      </c>
      <c r="F594" s="92" t="n"/>
      <c r="G594" s="92" t="n"/>
      <c r="H594" s="92" t="n"/>
      <c r="I594" s="92" t="n"/>
      <c r="O594" s="74" t="n"/>
    </row>
    <row r="595" ht="8" customHeight="1">
      <c r="B595" s="93" t="n"/>
      <c r="C595" s="94" t="n"/>
      <c r="D595" s="94" t="n"/>
      <c r="E595" s="94" t="n"/>
      <c r="F595" s="94" t="n"/>
      <c r="G595" s="94" t="n"/>
      <c r="H595" s="94" t="n"/>
      <c r="I595" s="94" t="n"/>
      <c r="J595" s="94" t="n"/>
      <c r="K595" s="94" t="n"/>
      <c r="L595" s="94" t="n"/>
      <c r="M595" s="94" t="n"/>
      <c r="N595" s="94" t="n"/>
      <c r="O595" s="95" t="n"/>
    </row>
    <row r="596" ht="27.5" customHeight="1"/>
    <row r="597" ht="27.5" customHeight="1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6">
    <mergeCell ref="C389:N389"/>
    <mergeCell ref="C100:N100"/>
    <mergeCell ref="C525:N525"/>
    <mergeCell ref="C270:N270"/>
    <mergeCell ref="C134:N134"/>
    <mergeCell ref="C117:N117"/>
    <mergeCell ref="C321:N321"/>
    <mergeCell ref="C168:N168"/>
    <mergeCell ref="C457:N457"/>
    <mergeCell ref="C202:N202"/>
    <mergeCell ref="C491:N491"/>
    <mergeCell ref="C236:N236"/>
    <mergeCell ref="A1:N1"/>
    <mergeCell ref="C474:N474"/>
    <mergeCell ref="C542:N542"/>
    <mergeCell ref="C287:N287"/>
    <mergeCell ref="C576:N576"/>
    <mergeCell ref="C508:N508"/>
    <mergeCell ref="C219:N219"/>
    <mergeCell ref="C253:N253"/>
    <mergeCell ref="C32:N32"/>
    <mergeCell ref="C423:N423"/>
    <mergeCell ref="C66:N66"/>
    <mergeCell ref="C355:N355"/>
    <mergeCell ref="C593:N593"/>
    <mergeCell ref="C304:N304"/>
    <mergeCell ref="C338:N338"/>
    <mergeCell ref="C49:N49"/>
    <mergeCell ref="C83:N83"/>
    <mergeCell ref="C406:N406"/>
    <mergeCell ref="C559:N559"/>
    <mergeCell ref="C440:N440"/>
    <mergeCell ref="C15:N15"/>
    <mergeCell ref="C151:N151"/>
    <mergeCell ref="C185:N185"/>
    <mergeCell ref="C372:N372"/>
  </mergeCells>
  <conditionalFormatting sqref="B3:O17">
    <cfRule type="expression" priority="1" dxfId="1" stopIfTrue="1">
      <formula>$B$4=""</formula>
    </cfRule>
  </conditionalFormatting>
  <conditionalFormatting sqref="B20:O34">
    <cfRule type="expression" priority="2" dxfId="1" stopIfTrue="1">
      <formula>$B$21=""</formula>
    </cfRule>
  </conditionalFormatting>
  <conditionalFormatting sqref="B37:O51">
    <cfRule type="expression" priority="3" dxfId="1" stopIfTrue="1">
      <formula>$B$38=""</formula>
    </cfRule>
  </conditionalFormatting>
  <conditionalFormatting sqref="B54:O68">
    <cfRule type="expression" priority="4" dxfId="1" stopIfTrue="1">
      <formula>$B$55=""</formula>
    </cfRule>
  </conditionalFormatting>
  <conditionalFormatting sqref="B71:O85">
    <cfRule type="expression" priority="5" dxfId="1" stopIfTrue="1">
      <formula>$B$72=""</formula>
    </cfRule>
  </conditionalFormatting>
  <conditionalFormatting sqref="B88:O102">
    <cfRule type="expression" priority="6" dxfId="1" stopIfTrue="1">
      <formula>$B$89=""</formula>
    </cfRule>
  </conditionalFormatting>
  <conditionalFormatting sqref="B105:O119">
    <cfRule type="expression" priority="7" dxfId="1" stopIfTrue="1">
      <formula>$B$106=""</formula>
    </cfRule>
  </conditionalFormatting>
  <conditionalFormatting sqref="B122:O136">
    <cfRule type="expression" priority="8" dxfId="1" stopIfTrue="1">
      <formula>$B$123=""</formula>
    </cfRule>
  </conditionalFormatting>
  <conditionalFormatting sqref="B139:O153">
    <cfRule type="expression" priority="9" dxfId="1" stopIfTrue="1">
      <formula>$B$140=""</formula>
    </cfRule>
  </conditionalFormatting>
  <conditionalFormatting sqref="B156:O170">
    <cfRule type="expression" priority="10" dxfId="1" stopIfTrue="1">
      <formula>$B$157=""</formula>
    </cfRule>
  </conditionalFormatting>
  <conditionalFormatting sqref="B173:O187">
    <cfRule type="expression" priority="11" dxfId="1" stopIfTrue="1">
      <formula>$B$174=""</formula>
    </cfRule>
  </conditionalFormatting>
  <conditionalFormatting sqref="B190:O204">
    <cfRule type="expression" priority="12" dxfId="1" stopIfTrue="1">
      <formula>$B$191=""</formula>
    </cfRule>
  </conditionalFormatting>
  <conditionalFormatting sqref="B207:O221">
    <cfRule type="expression" priority="13" dxfId="1" stopIfTrue="1">
      <formula>$B$208=""</formula>
    </cfRule>
  </conditionalFormatting>
  <conditionalFormatting sqref="B224:O238">
    <cfRule type="expression" priority="14" dxfId="1" stopIfTrue="1">
      <formula>$B$225=""</formula>
    </cfRule>
  </conditionalFormatting>
  <conditionalFormatting sqref="B241:O255">
    <cfRule type="expression" priority="15" dxfId="1" stopIfTrue="1">
      <formula>$B$242=""</formula>
    </cfRule>
  </conditionalFormatting>
  <conditionalFormatting sqref="B258:O272">
    <cfRule type="expression" priority="16" dxfId="1" stopIfTrue="1">
      <formula>$B$259=""</formula>
    </cfRule>
  </conditionalFormatting>
  <conditionalFormatting sqref="B275:O289">
    <cfRule type="expression" priority="17" dxfId="1" stopIfTrue="1">
      <formula>$B$276=""</formula>
    </cfRule>
  </conditionalFormatting>
  <conditionalFormatting sqref="B292:O306">
    <cfRule type="expression" priority="18" dxfId="1" stopIfTrue="1">
      <formula>$B$293=""</formula>
    </cfRule>
  </conditionalFormatting>
  <conditionalFormatting sqref="B309:O323">
    <cfRule type="expression" priority="19" dxfId="1" stopIfTrue="1">
      <formula>$B$310=""</formula>
    </cfRule>
  </conditionalFormatting>
  <conditionalFormatting sqref="B326:O340">
    <cfRule type="expression" priority="20" dxfId="1" stopIfTrue="1">
      <formula>$B$327=""</formula>
    </cfRule>
  </conditionalFormatting>
  <conditionalFormatting sqref="B343:O357">
    <cfRule type="expression" priority="21" dxfId="1" stopIfTrue="1">
      <formula>$B$344=""</formula>
    </cfRule>
  </conditionalFormatting>
  <conditionalFormatting sqref="B360:O374">
    <cfRule type="expression" priority="22" dxfId="1" stopIfTrue="1">
      <formula>$B$361=""</formula>
    </cfRule>
  </conditionalFormatting>
  <conditionalFormatting sqref="B377:O391">
    <cfRule type="expression" priority="23" dxfId="1" stopIfTrue="1">
      <formula>$B$378=""</formula>
    </cfRule>
  </conditionalFormatting>
  <conditionalFormatting sqref="B394:O408">
    <cfRule type="expression" priority="24" dxfId="1" stopIfTrue="1">
      <formula>$B$395=""</formula>
    </cfRule>
  </conditionalFormatting>
  <conditionalFormatting sqref="B411:O425">
    <cfRule type="expression" priority="25" dxfId="1" stopIfTrue="1">
      <formula>$B$412=""</formula>
    </cfRule>
  </conditionalFormatting>
  <conditionalFormatting sqref="B428:O442">
    <cfRule type="expression" priority="26" dxfId="1" stopIfTrue="1">
      <formula>$B$429=""</formula>
    </cfRule>
  </conditionalFormatting>
  <conditionalFormatting sqref="B445:O459">
    <cfRule type="expression" priority="27" dxfId="1" stopIfTrue="1">
      <formula>$B$446=""</formula>
    </cfRule>
  </conditionalFormatting>
  <conditionalFormatting sqref="B462:O476">
    <cfRule type="expression" priority="28" dxfId="1" stopIfTrue="1">
      <formula>$B$463=""</formula>
    </cfRule>
  </conditionalFormatting>
  <conditionalFormatting sqref="B479:O493">
    <cfRule type="expression" priority="29" dxfId="1" stopIfTrue="1">
      <formula>$B$480=""</formula>
    </cfRule>
  </conditionalFormatting>
  <conditionalFormatting sqref="B496:O510">
    <cfRule type="expression" priority="30" dxfId="1" stopIfTrue="1">
      <formula>$B$497=""</formula>
    </cfRule>
  </conditionalFormatting>
  <conditionalFormatting sqref="B513:O527">
    <cfRule type="expression" priority="31" dxfId="1" stopIfTrue="1">
      <formula>$B$514=""</formula>
    </cfRule>
  </conditionalFormatting>
  <conditionalFormatting sqref="B530:O544">
    <cfRule type="expression" priority="32" dxfId="1" stopIfTrue="1">
      <formula>$B$531=""</formula>
    </cfRule>
  </conditionalFormatting>
  <conditionalFormatting sqref="B547:O561">
    <cfRule type="expression" priority="33" dxfId="1" stopIfTrue="1">
      <formula>$B$548=""</formula>
    </cfRule>
  </conditionalFormatting>
  <conditionalFormatting sqref="B564:O578">
    <cfRule type="expression" priority="34" dxfId="1" stopIfTrue="1">
      <formula>$B$565=""</formula>
    </cfRule>
  </conditionalFormatting>
  <conditionalFormatting sqref="B581:O595">
    <cfRule type="expression" priority="35" dxfId="1" stopIfTrue="1">
      <formula>$B$582=""</formula>
    </cfRule>
  </conditionalFormatting>
  <dataValidations count="1">
    <dataValidation sqref="C2" showDropDown="0" showInputMessage="0" showErrorMessage="0" allowBlank="1" type="list">
      <formula1>"1,2,3,4,5,6"</formula1>
    </dataValidation>
  </dataValidations>
  <pageMargins left="0.28" right="0.28" top="0.5278" bottom="0.5278" header="0.5" footer="0.5"/>
  <pageSetup orientation="portrait" paperSize="9" scale="100"/>
  <rowBreaks count="17" manualBreakCount="17">
    <brk id="36" min="0" max="16383" man="1"/>
    <brk id="70" min="0" max="16383" man="1"/>
    <brk id="104" min="0" max="16383" man="1"/>
    <brk id="138" min="0" max="16383" man="1"/>
    <brk id="172" min="0" max="16383" man="1"/>
    <brk id="206" min="0" max="16383" man="1"/>
    <brk id="240" min="0" max="16383" man="1"/>
    <brk id="274" min="0" max="16383" man="1"/>
    <brk id="308" min="0" max="16383" man="1"/>
    <brk id="342" min="0" max="16383" man="1"/>
    <brk id="376" min="0" max="16383" man="1"/>
    <brk id="410" min="0" max="16383" man="1"/>
    <brk id="444" min="0" max="16383" man="1"/>
    <brk id="478" min="0" max="16383" man="1"/>
    <brk id="512" min="0" max="16383" man="1"/>
    <brk id="546" min="0" max="16383" man="1"/>
    <brk id="58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2026-09-30T19:59:44Z</dcterms:created>
  <dcterms:modified xmlns:dcterms="http://purl.org/dc/terms/" xmlns:xsi="http://www.w3.org/2001/XMLSchema-instance" xsi:type="dcterms:W3CDTF">2026-09-30T19:59:45Z</dcterms:modified>
</cp:coreProperties>
</file>